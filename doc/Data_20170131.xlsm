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430" codeName="{C5BBEA04-B48B-DB03-FC8F-E18A6752861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f79c5810e0243ad1/Arduino/teensyOAV/doc/"/>
    </mc:Choice>
  </mc:AlternateContent>
  <xr:revisionPtr revIDLastSave="11" documentId="11_C90E7003951E1C95347EE023133DC4968651DAFC" xr6:coauthVersionLast="47" xr6:coauthVersionMax="47" xr10:uidLastSave="{C97DBD3E-D780-4BA9-B549-0A80E6FA3527}"/>
  <bookViews>
    <workbookView xWindow="-108" yWindow="-108" windowWidth="23256" windowHeight="12576" xr2:uid="{00000000-000D-0000-FFFF-FFFF00000000}"/>
  </bookViews>
  <sheets>
    <sheet name="Settings" sheetId="1" r:id="rId1"/>
    <sheet name="GUI" sheetId="2" r:id="rId2"/>
    <sheet name="Data_lists" sheetId="6" state="hidden" r:id="rId3"/>
    <sheet name="Printable" sheetId="7" r:id="rId4"/>
  </sheets>
  <definedNames>
    <definedName name="ACCLPF">GUI!$D$12</definedName>
    <definedName name="ALCorrect">GUI!$D$14</definedName>
    <definedName name="Arming">GUI!$D$8</definedName>
    <definedName name="AVRDude_path">Settings!$I$27</definedName>
    <definedName name="Buzzer">GUI!$D$16</definedName>
    <definedName name="C_Ch1">GUI!$D$36</definedName>
    <definedName name="C_Ch2">GUI!$E$36</definedName>
    <definedName name="C_Ch3">GUI!$F$36</definedName>
    <definedName name="C_Ch4">GUI!$G$36</definedName>
    <definedName name="C_Ch5">GUI!$H$36</definedName>
    <definedName name="C_Ch6">GUI!$I$36</definedName>
    <definedName name="C_Ch7">GUI!$J$36</definedName>
    <definedName name="C_Ch8">GUI!$K$36</definedName>
    <definedName name="Channel_order">GUI!$D$25</definedName>
    <definedName name="COM_Port">Settings!$L$25</definedName>
    <definedName name="Contrast">GUI!$D$7</definedName>
    <definedName name="Curve1P1">GUI!$G$69</definedName>
    <definedName name="Curve1P2">GUI!$G$70</definedName>
    <definedName name="Curve1P3">GUI!$G$71</definedName>
    <definedName name="Curve1P4">GUI!$G$72</definedName>
    <definedName name="Curve1P5">GUI!$G$73</definedName>
    <definedName name="Curve1P6">GUI!$G$74</definedName>
    <definedName name="Curve1P7">GUI!$G$75</definedName>
    <definedName name="Curve2P1">GUI!$G$79</definedName>
    <definedName name="Curve2P2">GUI!$G$80</definedName>
    <definedName name="Curve2P3">GUI!$G$81</definedName>
    <definedName name="Curve2P4">GUI!$G$82</definedName>
    <definedName name="Curve2P5">GUI!$G$83</definedName>
    <definedName name="Curve2P6">GUI!$G$84</definedName>
    <definedName name="Curve2P7">GUI!$G$85</definedName>
    <definedName name="Curve3P1">GUI!$G$90</definedName>
    <definedName name="Curve3P2">GUI!$G$91</definedName>
    <definedName name="Curve3P3">GUI!$G$92</definedName>
    <definedName name="Curve3P4">GUI!$G$93</definedName>
    <definedName name="Curve3P5">GUI!$G$94</definedName>
    <definedName name="Curve3P6">GUI!$G$95</definedName>
    <definedName name="Curve3P7">GUI!$G$96</definedName>
    <definedName name="Curve4P1">GUI!$G$101</definedName>
    <definedName name="Curve4P2">GUI!$G$102</definedName>
    <definedName name="Curve4P3">GUI!$G$103</definedName>
    <definedName name="Curve4P4">GUI!$G$104</definedName>
    <definedName name="Curve4P5">GUI!$G$105</definedName>
    <definedName name="Curve4P6">GUI!$G$106</definedName>
    <definedName name="Curve4P7">GUI!$G$107</definedName>
    <definedName name="Curve5P1">GUI!$G$113</definedName>
    <definedName name="Curve5P2">GUI!$G$114</definedName>
    <definedName name="Curve5P3">GUI!$G$115</definedName>
    <definedName name="Curve5P4">GUI!$G$116</definedName>
    <definedName name="Curve5P5">GUI!$G$117</definedName>
    <definedName name="Curve5P6">GUI!$G$118</definedName>
    <definedName name="Curve5P7">GUI!$G$119</definedName>
    <definedName name="Curve5Source">GUI!$K$117</definedName>
    <definedName name="Curve6P1">GUI!$G$123</definedName>
    <definedName name="Curve6P2">GUI!$G$124</definedName>
    <definedName name="Curve6P3">GUI!$G$125</definedName>
    <definedName name="Curve6P4">GUI!$G$126</definedName>
    <definedName name="Curve6P5">GUI!$G$127</definedName>
    <definedName name="Curve6P6">GUI!$G$128</definedName>
    <definedName name="Curve6P7">GUI!$G$129</definedName>
    <definedName name="Curve6Source">GUI!$K$127</definedName>
    <definedName name="Custom_channels">GUI!$D$36:$K$36</definedName>
    <definedName name="Data_1">Settings!$AQ$5:$BB$5</definedName>
    <definedName name="Data_2">Settings!$WG$5:$WN$5</definedName>
    <definedName name="Data_3">Settings!$FE$5:$FP$5</definedName>
    <definedName name="Data_4">Settings!$BC$5:$CP$5</definedName>
    <definedName name="Data_5">Settings!$UK$5:$WF$5</definedName>
    <definedName name="Data_6">Settings!$FQ$5:$QB$5</definedName>
    <definedName name="Data_conversion_formulas">Settings!$B$5:$BZU$5</definedName>
    <definedName name="Data_out_1">Settings!$AQ$6:$BB$6</definedName>
    <definedName name="Data_out_2">Settings!$WG$6:$WN$6</definedName>
    <definedName name="Data_out_3">Settings!$WG$6:$WN$6</definedName>
    <definedName name="Data_out_6">Settings!$FQ$6:$QB$6</definedName>
    <definedName name="Data_output_3">Settings!$FE$6:$FP$6</definedName>
    <definedName name="Data_output_4">Settings!$BC$6:$CP$6</definedName>
    <definedName name="Data_output_5">Settings!$UK$6:$WF$6</definedName>
    <definedName name="Debug_in">Settings!$C$32</definedName>
    <definedName name="Debug_out">Settings!$C$34</definedName>
    <definedName name="Debug_utility">Settings!$C$33</definedName>
    <definedName name="Deci_filter">GUI!$D$33</definedName>
    <definedName name="Disarm">GUI!$D$9</definedName>
    <definedName name="File_path">Settings!$I$29</definedName>
    <definedName name="Flash_file_path">Settings!$C$35</definedName>
    <definedName name="GYROLPF">GUI!$D$13</definedName>
    <definedName name="In_buffer">Settings!$B$1</definedName>
    <definedName name="In_buffer_start">Settings!$B$1</definedName>
    <definedName name="In_speed">GUI!$D$28</definedName>
    <definedName name="LVA">GUI!$D$10</definedName>
    <definedName name="Max_servo">Settings!$QS$3:$QZ$3</definedName>
    <definedName name="Max_servo_GUI">GUI!$D$267:$K$267</definedName>
    <definedName name="Min_servo">Settings!$QK$3:$QR$3</definedName>
    <definedName name="Min_servo_GUI">GUI!$D$266:$K$266</definedName>
    <definedName name="MPULPF">GUI!$D$11</definedName>
    <definedName name="Offset_3_1">GUI!$H$193</definedName>
    <definedName name="Offset_3_2">GUI!$H$194</definedName>
    <definedName name="Offset_3_3">GUI!$H$195</definedName>
    <definedName name="Offset_3_4">GUI!$H$196</definedName>
    <definedName name="Offset_3_5">GUI!$H$197</definedName>
    <definedName name="Offset_3_6">GUI!$H$198</definedName>
    <definedName name="Offset_3_7">GUI!$H$199</definedName>
    <definedName name="Offset_4_1">GUI!$H$204</definedName>
    <definedName name="Offset_4_2">GUI!$H$205</definedName>
    <definedName name="Offset_4_3">GUI!$H$206</definedName>
    <definedName name="Offset_4_4">GUI!$H$207</definedName>
    <definedName name="Offset_4_5">GUI!$H$208</definedName>
    <definedName name="Offset_4_6">GUI!$H$209</definedName>
    <definedName name="Offset_4_7">GUI!$H$210</definedName>
    <definedName name="Offset_5_1">GUI!$H$214</definedName>
    <definedName name="Offset_5_2">GUI!$H$215</definedName>
    <definedName name="Offset_5_3">GUI!$H$216</definedName>
    <definedName name="Offset_5_4">GUI!$H$217</definedName>
    <definedName name="Offset_5_5">GUI!$H$218</definedName>
    <definedName name="Offset_5_6">GUI!$H$219</definedName>
    <definedName name="Offset_5_7">GUI!$H$220</definedName>
    <definedName name="Offset_6_1">GUI!$H$225</definedName>
    <definedName name="Offset_6_2">GUI!$H$226</definedName>
    <definedName name="Offset_6_3">GUI!$H$227</definedName>
    <definedName name="Offset_6_4">GUI!$H$228</definedName>
    <definedName name="Offset_6_5">GUI!$H$229</definedName>
    <definedName name="Offset_6_6">GUI!$H$230</definedName>
    <definedName name="Offset_6_7">GUI!$H$231</definedName>
    <definedName name="Offset_7_1">GUI!$H$235</definedName>
    <definedName name="Offset_7_2">GUI!$H$236</definedName>
    <definedName name="Offset_7_3">GUI!$H$237</definedName>
    <definedName name="Offset_7_4">GUI!$H$238</definedName>
    <definedName name="Offset_7_5">GUI!$H$239</definedName>
    <definedName name="Offset_7_6">GUI!$H$240</definedName>
    <definedName name="Offset_7_7">GUI!$H$241</definedName>
    <definedName name="Offset_8_1">GUI!$H$246</definedName>
    <definedName name="Offset_8_2">GUI!$H$247</definedName>
    <definedName name="Offset_8_3">GUI!$H$248</definedName>
    <definedName name="Offset_8_4">GUI!$H$249</definedName>
    <definedName name="Offset_8_5">GUI!$H$250</definedName>
    <definedName name="Offset_8_6">GUI!$H$251</definedName>
    <definedName name="Offset_8_7">GUI!$H$252</definedName>
    <definedName name="Offset1_1">GUI!$H$171</definedName>
    <definedName name="Offset1_2">GUI!$H$172</definedName>
    <definedName name="Offset1_3">GUI!$H$173</definedName>
    <definedName name="Offset1_4">GUI!$H$174</definedName>
    <definedName name="Offset1_5">GUI!$H$175</definedName>
    <definedName name="Offset1_6">GUI!$H$176</definedName>
    <definedName name="Offset1_7">GUI!$H$177</definedName>
    <definedName name="Offset2_1">GUI!$H$182</definedName>
    <definedName name="Offset2_2">GUI!$H$183</definedName>
    <definedName name="Offset2_3">GUI!$H$184</definedName>
    <definedName name="Offset2_4">GUI!$H$185</definedName>
    <definedName name="Offset2_5">GUI!$H$186</definedName>
    <definedName name="Offset2_6">GUI!$H$187</definedName>
    <definedName name="Offset2_7">GUI!$H$188</definedName>
    <definedName name="Orientation">GUI!$D$5</definedName>
    <definedName name="Out_buffer">Settings!$B$6</definedName>
    <definedName name="Out_buffer_start">Settings!$B$6</definedName>
    <definedName name="Out_speed">GUI!$D$27</definedName>
    <definedName name="OUT1_MIXER">GUI!$D$135:$D$164</definedName>
    <definedName name="OUT1_MIXER_DATA">Settings!$FU$3:$GX$3</definedName>
    <definedName name="OUT1_MIXER_GUI_DATA">Settings!$FU$4:$GX$4</definedName>
    <definedName name="OUT1_P1_aileron_volume">GUI!$D$139</definedName>
    <definedName name="OUT1_P1_alt_damp">GUI!$D$155</definedName>
    <definedName name="OUT1_P1_elevator_volume">GUI!$D$141</definedName>
    <definedName name="OUT1_P1_pitch_acc">GUI!$D$153</definedName>
    <definedName name="OUT1_P1_pitch_gyro">GUI!$D$147</definedName>
    <definedName name="OUT1_P1_roll_acc">GUI!$D$151</definedName>
    <definedName name="OUT1_P1_roll_gyro">GUI!$D$145</definedName>
    <definedName name="OUT1_P1_ruder_volume">GUI!$D$143</definedName>
    <definedName name="OUT1_P1_Source_A">GUI!$D$157</definedName>
    <definedName name="OUT1_P1_Source_A_Vol">GUI!$D$158</definedName>
    <definedName name="OUT1_P1_Source_B">GUI!$D$161</definedName>
    <definedName name="OUT1_P1_Source_B_Vol">GUI!$D$162</definedName>
    <definedName name="Out1_P1_throttle_volume">GUI!$D$136</definedName>
    <definedName name="OUT1_P1_yaw_gyro">GUI!$D$149</definedName>
    <definedName name="OUT1_P2_aileron_volume">GUI!$D$140</definedName>
    <definedName name="OUT1_P2_alt_damp">GUI!$D$156</definedName>
    <definedName name="OUT1_P2_elevator_volume">GUI!$D$142</definedName>
    <definedName name="OUT1_P2_pitch_acc">GUI!$D$154</definedName>
    <definedName name="OUT1_P2_pitch_gyro">GUI!$D$148</definedName>
    <definedName name="OUT1_P2_roll_acc">GUI!$D$152</definedName>
    <definedName name="OUT1_P2_roll_gyro">GUI!$D$146</definedName>
    <definedName name="OUT1_P2_ruder_volume">GUI!$D$144</definedName>
    <definedName name="OUT1_P2_Source_A">GUI!$D$159</definedName>
    <definedName name="OUT1_P2_Source_A_Vol">GUI!$D$160</definedName>
    <definedName name="OUT1_P2_Source_B">GUI!$D$163</definedName>
    <definedName name="OUT1_P2_Source_B_Vol">GUI!$D$164</definedName>
    <definedName name="OUT1_P2_throttle_volume">GUI!$D$137</definedName>
    <definedName name="OUT1_P2_yaw_gyro">GUI!$D$150</definedName>
    <definedName name="OUT1_Throttle_curve">GUI!$D$138</definedName>
    <definedName name="OUT1_type">GUI!$D$135</definedName>
    <definedName name="OUT2_MIXER">GUI!$E$135:$E$164</definedName>
    <definedName name="OUT2_MIXER_DATA">Settings!$HC$3:$IF$3</definedName>
    <definedName name="OUT2_MIXER_GUI_DATA">Settings!$HC$4:$IF$4</definedName>
    <definedName name="OUT2_P1_aileron_volume">GUI!$E$139</definedName>
    <definedName name="OUT2_P1_alt_damp">GUI!$E$155</definedName>
    <definedName name="OUT2_P1_elevator_volume">GUI!$E$141</definedName>
    <definedName name="OUT2_P1_pitch_acc">GUI!$E$153</definedName>
    <definedName name="OUT2_P1_pitch_gyro">GUI!$E$147</definedName>
    <definedName name="OUT2_P1_roll_acc">GUI!$E$151</definedName>
    <definedName name="OUT2_P1_roll_gyro">GUI!$E$145</definedName>
    <definedName name="OUT2_P1_ruder_volume">GUI!$E$143</definedName>
    <definedName name="OUT2_P1_Source_A">GUI!$E$157</definedName>
    <definedName name="OUT2_P1_Source_A_Vol">GUI!$E$158</definedName>
    <definedName name="OUT2_P1_Source_B">GUI!$E$161</definedName>
    <definedName name="OUT2_P1_Source_B_Vol">GUI!$E$162</definedName>
    <definedName name="Out2_P1_throttle_volume">GUI!$E$136</definedName>
    <definedName name="OUT2_P1_yaw_gyro">GUI!$E$149</definedName>
    <definedName name="OUT2_P2_aileron_volume">GUI!$E$140</definedName>
    <definedName name="OUT2_P2_alt_damp">GUI!$E$156</definedName>
    <definedName name="OUT2_P2_elevator_volume">GUI!$E$142</definedName>
    <definedName name="OUT2_P2_pitch_acc">GUI!$E$154</definedName>
    <definedName name="OUT2_P2_pitch_gyro">GUI!$E$148</definedName>
    <definedName name="OUT2_P2_roll_acc">GUI!$E$152</definedName>
    <definedName name="OUT2_P2_roll_gyro">GUI!$E$146</definedName>
    <definedName name="OUT2_P2_ruder_volume">GUI!$E$144</definedName>
    <definedName name="OUT2_P2_Source_A">GUI!$E$159</definedName>
    <definedName name="OUT2_P2_Source_A_Vol">GUI!$E$160</definedName>
    <definedName name="OUT2_P2_Source_B">GUI!$E$163</definedName>
    <definedName name="OUT2_P2_Source_B_Vol">GUI!$E$164</definedName>
    <definedName name="OUT2_P2_throttle_volume">GUI!$E$137</definedName>
    <definedName name="OUT2_P2_yaw_gyro">GUI!$E$150</definedName>
    <definedName name="OUT2_Throttle_curve">GUI!$E$138</definedName>
    <definedName name="OUT2_type">GUI!$E$135</definedName>
    <definedName name="OUT3_MIXER">GUI!$F$135:$F$164</definedName>
    <definedName name="OUT3_MIXER_DATA">Settings!$IK$3:$JN$3</definedName>
    <definedName name="OUT3_MIXER_GUI_DATA">Settings!$IK$4:$JN$4</definedName>
    <definedName name="OUT3_type">GUI!$F$135</definedName>
    <definedName name="OUT4_MIXER">GUI!$G$135:$G$164</definedName>
    <definedName name="OUT4_MIXER_DATA">Settings!$JS$3:$KV$3</definedName>
    <definedName name="OUT4_MIXER_GUI_DATA">Settings!$JS$4:$KV$4</definedName>
    <definedName name="OUT4_type">GUI!$G$135</definedName>
    <definedName name="OUT5_MIXER">GUI!$H$135:$H$164</definedName>
    <definedName name="OUT5_MIXER_DATA">Settings!$LA$3:$MD$3</definedName>
    <definedName name="OUT5_MIXER_GUI_DATA">Settings!$LA$4:$MD$4</definedName>
    <definedName name="OUT5_type">GUI!$H$135</definedName>
    <definedName name="OUT6_MIXER">GUI!$I$135:$I$164</definedName>
    <definedName name="OUT6_MIXER_DATA">Settings!$MI$3:$NL$3</definedName>
    <definedName name="OUT6_MIXER_GUI_DATA">Settings!$MI$4:$NL$4</definedName>
    <definedName name="OUT6_type">GUI!$I$135</definedName>
    <definedName name="OUT7_MIXER">GUI!$J$135:$J$164</definedName>
    <definedName name="OUT7_MIXER_DATA">Settings!$NQ$3:$OT$3</definedName>
    <definedName name="OUT7_MIXER_GUI_DATA">Settings!$NQ$4:$OT$4</definedName>
    <definedName name="OUT7_type">GUI!$J$135</definedName>
    <definedName name="OUT8_MIXER">GUI!$K$135:$K$164</definedName>
    <definedName name="OUT8_MIXER_DATA">Settings!$OY$3:$QB$3</definedName>
    <definedName name="OUT8_MIXER_GUI_DATA">Settings!$OY$4:$QB$4</definedName>
    <definedName name="OUT8_type">GUI!$K$135</definedName>
    <definedName name="Output_offsets">Settings!$WO$5:$YZ$5</definedName>
    <definedName name="Output_offsets_out">Settings!$WO$6:$YZ$6</definedName>
    <definedName name="P1_I_Gain">GUI!$D$44</definedName>
    <definedName name="P1_I_Limit">GUI!$D$45</definedName>
    <definedName name="P1_I_Rate">GUI!$D$46</definedName>
    <definedName name="P1_P_Gain">GUI!$D$43</definedName>
    <definedName name="P1_Pitch_AL_P_gain">GUI!$D$53</definedName>
    <definedName name="P1_Pitch_AL_trim">GUI!$D$54</definedName>
    <definedName name="P1_Pitch_I_Gain">GUI!$D$50</definedName>
    <definedName name="P1_Pitch_I_Limit">GUI!$D$51</definedName>
    <definedName name="P1_Pitch_I_Rate">GUI!$D$52</definedName>
    <definedName name="P1_Pitch_P_Gain">GUI!$D$49</definedName>
    <definedName name="P1_Roll_AL_P_gain">GUI!$D$47</definedName>
    <definedName name="P1_Roll_AL_trim">GUI!$D$48</definedName>
    <definedName name="P1_Roll_P_Gain">GUI!$D$43</definedName>
    <definedName name="P1_throttle_volume">GUI!$D$136</definedName>
    <definedName name="P1_Yaw_I_Gain">GUI!$D$56</definedName>
    <definedName name="P1_Yaw_I_Limit">GUI!$D$57</definedName>
    <definedName name="P1_Yaw_I_Rate">GUI!$D$58</definedName>
    <definedName name="P1_Yaw_P_Gain">GUI!$D$55</definedName>
    <definedName name="P1_Yaw_Trim">GUI!$D$59</definedName>
    <definedName name="P1_Z_Gain">GUI!$D$60</definedName>
    <definedName name="P1_Z_I_Gain">GUI!$D$61</definedName>
    <definedName name="P1_Z_I_Limit">GUI!$D$62</definedName>
    <definedName name="P2_I_Gain">GUI!$E$44</definedName>
    <definedName name="P2_I_Limit">GUI!$E$45</definedName>
    <definedName name="P2_I_Rate">GUI!$E$46</definedName>
    <definedName name="P2_P_Gain">GUI!$E$43</definedName>
    <definedName name="P2_Pitch_AL_P_gain">GUI!$E$53</definedName>
    <definedName name="P2_Pitch_AL_trim">GUI!$E$54</definedName>
    <definedName name="P2_Pitch_I_Gain">GUI!$E$50</definedName>
    <definedName name="P2_Pitch_I_Limit">GUI!$E$51</definedName>
    <definedName name="P2_Pitch_I_Rate">GUI!$E$52</definedName>
    <definedName name="P2_Pitch_P_Gain">GUI!$E$49</definedName>
    <definedName name="P2_Roll_AL_P_gain">GUI!$E$47</definedName>
    <definedName name="P2_Roll_AL_trim">GUI!$E$48</definedName>
    <definedName name="P2_throttle_volume">GUI!$D$137</definedName>
    <definedName name="P2_Yaw_I_Gain">GUI!$E$56</definedName>
    <definedName name="P2_Yaw_I_Limit">GUI!$E$57</definedName>
    <definedName name="P2_Yaw_I_Rate">GUI!$E$58</definedName>
    <definedName name="P2_Yaw_P_Gain">GUI!$E$55</definedName>
    <definedName name="P2_Yaw_Trim">GUI!$E$59</definedName>
    <definedName name="P2_Z_I_Gain">GUI!$E$61</definedName>
    <definedName name="P2_Z_I_Limit">GUI!$E$62</definedName>
    <definedName name="P2_Z_P_Gain">GUI!$E$60</definedName>
    <definedName name="Preset">GUI!$D$15</definedName>
    <definedName name="_xlnm.Print_Area" localSheetId="2">Data_lists!$A$1:$P$46</definedName>
    <definedName name="_xlnm.Print_Area" localSheetId="1">GUI!$A$1:$L$270</definedName>
    <definedName name="_xlnm.Print_Area" localSheetId="3">Printable!$A$1:$I$123</definedName>
    <definedName name="_xlnm.Print_Area" localSheetId="0">Settings!$A$10:$Q$40</definedName>
    <definedName name="Profile_Channel">GUI!$D$26</definedName>
    <definedName name="Programmer">Settings!$C$25</definedName>
    <definedName name="Raw_input_decimal_data">Settings!$B$1:$BZU$1</definedName>
    <definedName name="Raw_output_decimal_data">Settings!$B$6:$BZU$6</definedName>
    <definedName name="Receiver_type">GUI!$D$22</definedName>
    <definedName name="Reference">GUI!$D$6</definedName>
    <definedName name="RX_settings">GUI!$D$22:$D$33</definedName>
    <definedName name="Servo_GUI">GUI!$D$259:$K$259</definedName>
    <definedName name="Servo_GUI_data">Settings!$QC$3:$QJ$3</definedName>
    <definedName name="Servo_rate">GUI!$D$23</definedName>
    <definedName name="Servo_rev">Settings!$QC$5:$QJ$5</definedName>
    <definedName name="Servo_rev_out">Settings!$QC$6:$QJ$6</definedName>
    <definedName name="Servo_travel">Settings!$QK$5:$QZ$5</definedName>
    <definedName name="Servo_travel_out">Settings!$QK$6:$QZ$6</definedName>
    <definedName name="Short_raw_input">Settings!$B$1:$ZA$1</definedName>
    <definedName name="Short_raw_output">Settings!$B$6:$ZA$6</definedName>
    <definedName name="Short_text_conversion">Settings!$B$2:$ZA$2</definedName>
    <definedName name="Short_text_values_copied">Settings!$B$3:$ZA$3</definedName>
    <definedName name="Synch_Channel">GUI!$D$24</definedName>
    <definedName name="Text_conversion_formulas">Settings!$B$2:$BZU$2</definedName>
    <definedName name="Text_values_copied_from_above_to_GUI">Settings!$B$3:$BZU$3</definedName>
    <definedName name="Trans_P1">GUI!$D$29</definedName>
    <definedName name="Trans_P1_5">GUI!$D$30</definedName>
    <definedName name="Trans_P2">GUI!$D$31</definedName>
    <definedName name="Vibe_display">GUI!$D$32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Q2" i="1" l="1"/>
  <c r="FP4" i="1" l="1"/>
  <c r="FP5" i="1" s="1"/>
  <c r="FP2" i="1"/>
  <c r="AR2" i="1" l="1"/>
  <c r="AR4" i="1"/>
  <c r="AR5" i="1" s="1"/>
  <c r="AQ4" i="1"/>
  <c r="AQ5" i="1" s="1"/>
  <c r="I120" i="7" l="1"/>
  <c r="H120" i="7"/>
  <c r="G120" i="7"/>
  <c r="F120" i="7"/>
  <c r="E120" i="7"/>
  <c r="D120" i="7"/>
  <c r="C120" i="7"/>
  <c r="B120" i="7"/>
  <c r="I119" i="7"/>
  <c r="H119" i="7"/>
  <c r="G119" i="7"/>
  <c r="F119" i="7"/>
  <c r="E119" i="7"/>
  <c r="D119" i="7"/>
  <c r="C119" i="7"/>
  <c r="B119" i="7"/>
  <c r="I115" i="7"/>
  <c r="H115" i="7"/>
  <c r="G115" i="7"/>
  <c r="F115" i="7"/>
  <c r="E115" i="7"/>
  <c r="D115" i="7"/>
  <c r="C115" i="7"/>
  <c r="B115" i="7"/>
  <c r="I111" i="7"/>
  <c r="I110" i="7"/>
  <c r="I109" i="7"/>
  <c r="I108" i="7"/>
  <c r="I107" i="7"/>
  <c r="I106" i="7"/>
  <c r="I105" i="7"/>
  <c r="H111" i="7"/>
  <c r="H110" i="7"/>
  <c r="H109" i="7"/>
  <c r="H108" i="7"/>
  <c r="H107" i="7"/>
  <c r="H106" i="7"/>
  <c r="H105" i="7"/>
  <c r="G111" i="7"/>
  <c r="G110" i="7"/>
  <c r="G109" i="7"/>
  <c r="G108" i="7"/>
  <c r="G107" i="7"/>
  <c r="G106" i="7"/>
  <c r="G105" i="7"/>
  <c r="F111" i="7"/>
  <c r="F110" i="7"/>
  <c r="F109" i="7"/>
  <c r="F108" i="7"/>
  <c r="F107" i="7"/>
  <c r="F106" i="7"/>
  <c r="F105" i="7"/>
  <c r="E111" i="7"/>
  <c r="E110" i="7"/>
  <c r="E109" i="7"/>
  <c r="E108" i="7"/>
  <c r="E107" i="7"/>
  <c r="E106" i="7"/>
  <c r="E105" i="7"/>
  <c r="D111" i="7"/>
  <c r="D110" i="7"/>
  <c r="D109" i="7"/>
  <c r="D108" i="7"/>
  <c r="D107" i="7"/>
  <c r="D106" i="7"/>
  <c r="D105" i="7"/>
  <c r="C111" i="7"/>
  <c r="C110" i="7"/>
  <c r="C109" i="7"/>
  <c r="C108" i="7"/>
  <c r="C107" i="7"/>
  <c r="C106" i="7"/>
  <c r="C105" i="7"/>
  <c r="B111" i="7"/>
  <c r="B110" i="7"/>
  <c r="B109" i="7"/>
  <c r="B108" i="7"/>
  <c r="B107" i="7"/>
  <c r="B106" i="7"/>
  <c r="B105" i="7"/>
  <c r="I100" i="7"/>
  <c r="H100" i="7"/>
  <c r="G100" i="7"/>
  <c r="F100" i="7"/>
  <c r="E100" i="7"/>
  <c r="D100" i="7"/>
  <c r="C100" i="7"/>
  <c r="B100" i="7"/>
  <c r="I99" i="7"/>
  <c r="H99" i="7"/>
  <c r="G99" i="7"/>
  <c r="F99" i="7"/>
  <c r="E99" i="7"/>
  <c r="D99" i="7"/>
  <c r="C99" i="7"/>
  <c r="B99" i="7"/>
  <c r="I98" i="7"/>
  <c r="H98" i="7"/>
  <c r="G98" i="7"/>
  <c r="F98" i="7"/>
  <c r="E98" i="7"/>
  <c r="D98" i="7"/>
  <c r="C98" i="7"/>
  <c r="B98" i="7"/>
  <c r="I97" i="7"/>
  <c r="H97" i="7"/>
  <c r="G97" i="7"/>
  <c r="F97" i="7"/>
  <c r="E97" i="7"/>
  <c r="D97" i="7"/>
  <c r="C97" i="7"/>
  <c r="B97" i="7"/>
  <c r="I96" i="7"/>
  <c r="H96" i="7"/>
  <c r="G96" i="7"/>
  <c r="F96" i="7"/>
  <c r="E96" i="7"/>
  <c r="D96" i="7"/>
  <c r="C96" i="7"/>
  <c r="B96" i="7"/>
  <c r="I95" i="7"/>
  <c r="H95" i="7"/>
  <c r="G95" i="7"/>
  <c r="F95" i="7"/>
  <c r="E95" i="7"/>
  <c r="D95" i="7"/>
  <c r="C95" i="7"/>
  <c r="B95" i="7"/>
  <c r="I94" i="7"/>
  <c r="H94" i="7"/>
  <c r="G94" i="7"/>
  <c r="F94" i="7"/>
  <c r="E94" i="7"/>
  <c r="D94" i="7"/>
  <c r="C94" i="7"/>
  <c r="B94" i="7"/>
  <c r="I93" i="7"/>
  <c r="H93" i="7"/>
  <c r="G93" i="7"/>
  <c r="F93" i="7"/>
  <c r="E93" i="7"/>
  <c r="D93" i="7"/>
  <c r="C93" i="7"/>
  <c r="B93" i="7"/>
  <c r="I92" i="7"/>
  <c r="H92" i="7"/>
  <c r="G92" i="7"/>
  <c r="F92" i="7"/>
  <c r="E92" i="7"/>
  <c r="D92" i="7"/>
  <c r="C92" i="7"/>
  <c r="B92" i="7"/>
  <c r="I91" i="7"/>
  <c r="H91" i="7"/>
  <c r="G91" i="7"/>
  <c r="F91" i="7"/>
  <c r="E91" i="7"/>
  <c r="D91" i="7"/>
  <c r="C91" i="7"/>
  <c r="B91" i="7"/>
  <c r="I90" i="7"/>
  <c r="H90" i="7"/>
  <c r="G90" i="7"/>
  <c r="F90" i="7"/>
  <c r="E90" i="7"/>
  <c r="D90" i="7"/>
  <c r="C90" i="7"/>
  <c r="B90" i="7"/>
  <c r="I89" i="7"/>
  <c r="H89" i="7"/>
  <c r="G89" i="7"/>
  <c r="F89" i="7"/>
  <c r="E89" i="7"/>
  <c r="D89" i="7"/>
  <c r="C89" i="7"/>
  <c r="B89" i="7"/>
  <c r="I88" i="7"/>
  <c r="H88" i="7"/>
  <c r="G88" i="7"/>
  <c r="F88" i="7"/>
  <c r="E88" i="7"/>
  <c r="D88" i="7"/>
  <c r="C88" i="7"/>
  <c r="B88" i="7"/>
  <c r="I87" i="7"/>
  <c r="H87" i="7"/>
  <c r="G87" i="7"/>
  <c r="F87" i="7"/>
  <c r="E87" i="7"/>
  <c r="D87" i="7"/>
  <c r="C87" i="7"/>
  <c r="B87" i="7"/>
  <c r="I86" i="7"/>
  <c r="H86" i="7"/>
  <c r="G86" i="7"/>
  <c r="F86" i="7"/>
  <c r="E86" i="7"/>
  <c r="D86" i="7"/>
  <c r="C86" i="7"/>
  <c r="B86" i="7"/>
  <c r="I85" i="7"/>
  <c r="H85" i="7"/>
  <c r="G85" i="7"/>
  <c r="F85" i="7"/>
  <c r="E85" i="7"/>
  <c r="D85" i="7"/>
  <c r="C85" i="7"/>
  <c r="B85" i="7"/>
  <c r="I84" i="7"/>
  <c r="H84" i="7"/>
  <c r="G84" i="7"/>
  <c r="F84" i="7"/>
  <c r="E84" i="7"/>
  <c r="D84" i="7"/>
  <c r="C84" i="7"/>
  <c r="B84" i="7"/>
  <c r="I83" i="7"/>
  <c r="H83" i="7"/>
  <c r="G83" i="7"/>
  <c r="F83" i="7"/>
  <c r="E83" i="7"/>
  <c r="D83" i="7"/>
  <c r="C83" i="7"/>
  <c r="B83" i="7"/>
  <c r="I82" i="7"/>
  <c r="H82" i="7"/>
  <c r="G82" i="7"/>
  <c r="F82" i="7"/>
  <c r="E82" i="7"/>
  <c r="D82" i="7"/>
  <c r="C82" i="7"/>
  <c r="B82" i="7"/>
  <c r="I81" i="7"/>
  <c r="H81" i="7"/>
  <c r="G81" i="7"/>
  <c r="F81" i="7"/>
  <c r="E81" i="7"/>
  <c r="D81" i="7"/>
  <c r="C81" i="7"/>
  <c r="B81" i="7"/>
  <c r="I80" i="7"/>
  <c r="H80" i="7"/>
  <c r="G80" i="7"/>
  <c r="F80" i="7"/>
  <c r="E80" i="7"/>
  <c r="D80" i="7"/>
  <c r="C80" i="7"/>
  <c r="B80" i="7"/>
  <c r="I79" i="7"/>
  <c r="H79" i="7"/>
  <c r="G79" i="7"/>
  <c r="F79" i="7"/>
  <c r="E79" i="7"/>
  <c r="D79" i="7"/>
  <c r="C79" i="7"/>
  <c r="B79" i="7"/>
  <c r="I78" i="7"/>
  <c r="H78" i="7"/>
  <c r="G78" i="7"/>
  <c r="F78" i="7"/>
  <c r="E78" i="7"/>
  <c r="D78" i="7"/>
  <c r="C78" i="7"/>
  <c r="B78" i="7"/>
  <c r="I77" i="7"/>
  <c r="H77" i="7"/>
  <c r="G77" i="7"/>
  <c r="F77" i="7"/>
  <c r="E77" i="7"/>
  <c r="D77" i="7"/>
  <c r="C77" i="7"/>
  <c r="B77" i="7"/>
  <c r="I76" i="7"/>
  <c r="H76" i="7"/>
  <c r="G76" i="7"/>
  <c r="F76" i="7"/>
  <c r="E76" i="7"/>
  <c r="D76" i="7"/>
  <c r="C76" i="7"/>
  <c r="B76" i="7"/>
  <c r="I75" i="7"/>
  <c r="H75" i="7"/>
  <c r="G75" i="7"/>
  <c r="F75" i="7"/>
  <c r="E75" i="7"/>
  <c r="D75" i="7"/>
  <c r="C75" i="7"/>
  <c r="B75" i="7"/>
  <c r="I74" i="7"/>
  <c r="H74" i="7"/>
  <c r="G74" i="7"/>
  <c r="F74" i="7"/>
  <c r="E74" i="7"/>
  <c r="D74" i="7"/>
  <c r="C74" i="7"/>
  <c r="B74" i="7"/>
  <c r="I73" i="7"/>
  <c r="H73" i="7"/>
  <c r="G73" i="7"/>
  <c r="F73" i="7"/>
  <c r="E73" i="7"/>
  <c r="D73" i="7"/>
  <c r="C73" i="7"/>
  <c r="B73" i="7"/>
  <c r="I72" i="7"/>
  <c r="H72" i="7"/>
  <c r="G72" i="7"/>
  <c r="F72" i="7"/>
  <c r="E72" i="7"/>
  <c r="D72" i="7"/>
  <c r="C72" i="7"/>
  <c r="B72" i="7"/>
  <c r="I71" i="7"/>
  <c r="H71" i="7"/>
  <c r="G71" i="7"/>
  <c r="F71" i="7"/>
  <c r="E71" i="7"/>
  <c r="D71" i="7"/>
  <c r="C71" i="7"/>
  <c r="B71" i="7"/>
  <c r="I59" i="7"/>
  <c r="H59" i="7"/>
  <c r="H66" i="7"/>
  <c r="H65" i="7"/>
  <c r="H64" i="7"/>
  <c r="H63" i="7"/>
  <c r="H62" i="7"/>
  <c r="H61" i="7"/>
  <c r="H60" i="7"/>
  <c r="G66" i="7"/>
  <c r="G65" i="7"/>
  <c r="G64" i="7"/>
  <c r="G63" i="7"/>
  <c r="G62" i="7"/>
  <c r="G61" i="7"/>
  <c r="G60" i="7"/>
  <c r="F66" i="7"/>
  <c r="F65" i="7"/>
  <c r="F64" i="7"/>
  <c r="F63" i="7"/>
  <c r="F62" i="7"/>
  <c r="F61" i="7"/>
  <c r="F60" i="7"/>
  <c r="C66" i="7"/>
  <c r="C65" i="7"/>
  <c r="C64" i="7"/>
  <c r="C63" i="7"/>
  <c r="C62" i="7"/>
  <c r="C61" i="7"/>
  <c r="C60" i="7"/>
  <c r="B66" i="7"/>
  <c r="B65" i="7"/>
  <c r="B64" i="7"/>
  <c r="B63" i="7"/>
  <c r="B62" i="7"/>
  <c r="B61" i="7"/>
  <c r="B60" i="7"/>
  <c r="C55" i="7"/>
  <c r="B55" i="7"/>
  <c r="C54" i="7"/>
  <c r="B54" i="7"/>
  <c r="C53" i="7"/>
  <c r="B53" i="7"/>
  <c r="C52" i="7"/>
  <c r="B52" i="7"/>
  <c r="C51" i="7"/>
  <c r="B51" i="7"/>
  <c r="C50" i="7"/>
  <c r="B50" i="7"/>
  <c r="C49" i="7"/>
  <c r="B49" i="7"/>
  <c r="C48" i="7"/>
  <c r="B48" i="7"/>
  <c r="C47" i="7"/>
  <c r="B47" i="7"/>
  <c r="C46" i="7"/>
  <c r="B46" i="7"/>
  <c r="C45" i="7"/>
  <c r="B45" i="7"/>
  <c r="C44" i="7"/>
  <c r="B44" i="7"/>
  <c r="C43" i="7"/>
  <c r="B43" i="7"/>
  <c r="C42" i="7"/>
  <c r="B42" i="7"/>
  <c r="C41" i="7"/>
  <c r="B41" i="7"/>
  <c r="C40" i="7"/>
  <c r="B40" i="7"/>
  <c r="C39" i="7"/>
  <c r="B39" i="7"/>
  <c r="C38" i="7"/>
  <c r="B38" i="7"/>
  <c r="C37" i="7"/>
  <c r="B37" i="7"/>
  <c r="C36" i="7"/>
  <c r="B36" i="7"/>
  <c r="I122" i="7"/>
  <c r="H122" i="7"/>
  <c r="G122" i="7"/>
  <c r="F122" i="7"/>
  <c r="E122" i="7"/>
  <c r="D122" i="7"/>
  <c r="C122" i="7"/>
  <c r="B122" i="7"/>
  <c r="B26" i="7"/>
  <c r="B25" i="7"/>
  <c r="B24" i="7"/>
  <c r="B23" i="7"/>
  <c r="B22" i="7"/>
  <c r="B21" i="7"/>
  <c r="B20" i="7"/>
  <c r="B19" i="7"/>
  <c r="B18" i="7"/>
  <c r="B17" i="7"/>
  <c r="B16" i="7"/>
  <c r="B15" i="7"/>
  <c r="B12" i="7"/>
  <c r="B11" i="7"/>
  <c r="B10" i="7"/>
  <c r="B9" i="7"/>
  <c r="B8" i="7"/>
  <c r="B7" i="7"/>
  <c r="B6" i="7"/>
  <c r="B5" i="7"/>
  <c r="B4" i="7"/>
  <c r="B3" i="7"/>
  <c r="B2" i="7"/>
  <c r="QB5" i="1" l="1"/>
  <c r="QA5" i="1"/>
  <c r="PZ5" i="1"/>
  <c r="PY5" i="1"/>
  <c r="PX5" i="1"/>
  <c r="PW5" i="1"/>
  <c r="PV5" i="1"/>
  <c r="PU5" i="1"/>
  <c r="PT5" i="1"/>
  <c r="PS5" i="1"/>
  <c r="PR5" i="1"/>
  <c r="PQ5" i="1"/>
  <c r="PP5" i="1"/>
  <c r="PO5" i="1"/>
  <c r="PN5" i="1"/>
  <c r="PM5" i="1"/>
  <c r="PL5" i="1"/>
  <c r="PK5" i="1"/>
  <c r="PJ5" i="1"/>
  <c r="PI5" i="1"/>
  <c r="PH5" i="1"/>
  <c r="PG5" i="1"/>
  <c r="PF5" i="1"/>
  <c r="PE5" i="1"/>
  <c r="PD5" i="1"/>
  <c r="PC5" i="1"/>
  <c r="PB5" i="1"/>
  <c r="PA5" i="1"/>
  <c r="OZ5" i="1"/>
  <c r="OY5" i="1"/>
  <c r="OX5" i="1"/>
  <c r="OW5" i="1"/>
  <c r="OV5" i="1"/>
  <c r="OU5" i="1"/>
  <c r="OT5" i="1"/>
  <c r="OS5" i="1"/>
  <c r="OR5" i="1"/>
  <c r="OQ5" i="1"/>
  <c r="OP5" i="1"/>
  <c r="OO5" i="1"/>
  <c r="ON5" i="1"/>
  <c r="OM5" i="1"/>
  <c r="OL5" i="1"/>
  <c r="OK5" i="1"/>
  <c r="OJ5" i="1"/>
  <c r="OI5" i="1"/>
  <c r="OH5" i="1"/>
  <c r="OG5" i="1"/>
  <c r="OF5" i="1"/>
  <c r="OE5" i="1"/>
  <c r="OD5" i="1"/>
  <c r="OC5" i="1"/>
  <c r="OB5" i="1"/>
  <c r="OA5" i="1"/>
  <c r="NZ5" i="1"/>
  <c r="NY5" i="1"/>
  <c r="NX5" i="1"/>
  <c r="NW5" i="1"/>
  <c r="NV5" i="1"/>
  <c r="NU5" i="1"/>
  <c r="NT5" i="1"/>
  <c r="NS5" i="1"/>
  <c r="NR5" i="1"/>
  <c r="NQ5" i="1"/>
  <c r="NP5" i="1"/>
  <c r="NO5" i="1"/>
  <c r="NN5" i="1"/>
  <c r="NM5" i="1"/>
  <c r="NL5" i="1"/>
  <c r="NK5" i="1"/>
  <c r="NJ5" i="1"/>
  <c r="NI5" i="1"/>
  <c r="NH5" i="1"/>
  <c r="NG5" i="1"/>
  <c r="NF5" i="1"/>
  <c r="NE5" i="1"/>
  <c r="ND5" i="1"/>
  <c r="NC5" i="1"/>
  <c r="NB5" i="1"/>
  <c r="NA5" i="1"/>
  <c r="MZ5" i="1"/>
  <c r="MY5" i="1"/>
  <c r="MX5" i="1"/>
  <c r="MW5" i="1"/>
  <c r="MV5" i="1"/>
  <c r="MU5" i="1"/>
  <c r="MT5" i="1"/>
  <c r="MS5" i="1"/>
  <c r="MR5" i="1"/>
  <c r="MQ5" i="1"/>
  <c r="MP5" i="1"/>
  <c r="MO5" i="1"/>
  <c r="MN5" i="1"/>
  <c r="MM5" i="1"/>
  <c r="ML5" i="1"/>
  <c r="MK5" i="1"/>
  <c r="MJ5" i="1"/>
  <c r="MI5" i="1"/>
  <c r="MH5" i="1"/>
  <c r="MG5" i="1"/>
  <c r="MF5" i="1"/>
  <c r="ME5" i="1"/>
  <c r="MD5" i="1"/>
  <c r="MC5" i="1"/>
  <c r="MB5" i="1"/>
  <c r="MA5" i="1"/>
  <c r="LZ5" i="1"/>
  <c r="LY5" i="1"/>
  <c r="LX5" i="1"/>
  <c r="LW5" i="1"/>
  <c r="LV5" i="1"/>
  <c r="LU5" i="1"/>
  <c r="LT5" i="1"/>
  <c r="LS5" i="1"/>
  <c r="LR5" i="1"/>
  <c r="LQ5" i="1"/>
  <c r="LP5" i="1"/>
  <c r="LO5" i="1"/>
  <c r="LN5" i="1"/>
  <c r="LM5" i="1"/>
  <c r="LL5" i="1"/>
  <c r="LK5" i="1"/>
  <c r="LJ5" i="1"/>
  <c r="LI5" i="1"/>
  <c r="LH5" i="1"/>
  <c r="LG5" i="1"/>
  <c r="LF5" i="1"/>
  <c r="LE5" i="1"/>
  <c r="LD5" i="1"/>
  <c r="LC5" i="1"/>
  <c r="LB5" i="1"/>
  <c r="LA5" i="1"/>
  <c r="KZ5" i="1"/>
  <c r="KY5" i="1"/>
  <c r="KX5" i="1"/>
  <c r="KW5" i="1"/>
  <c r="KV5" i="1"/>
  <c r="KU5" i="1"/>
  <c r="KT5" i="1"/>
  <c r="KS5" i="1"/>
  <c r="KR5" i="1"/>
  <c r="KQ5" i="1"/>
  <c r="KP5" i="1"/>
  <c r="KO5" i="1"/>
  <c r="KN5" i="1"/>
  <c r="KM5" i="1"/>
  <c r="KL5" i="1"/>
  <c r="KK5" i="1"/>
  <c r="KJ5" i="1"/>
  <c r="KI5" i="1"/>
  <c r="KH5" i="1"/>
  <c r="KG5" i="1"/>
  <c r="KF5" i="1"/>
  <c r="KE5" i="1"/>
  <c r="KD5" i="1"/>
  <c r="KC5" i="1"/>
  <c r="KB5" i="1"/>
  <c r="KA5" i="1"/>
  <c r="JZ5" i="1"/>
  <c r="JY5" i="1"/>
  <c r="JX5" i="1"/>
  <c r="JW5" i="1"/>
  <c r="JV5" i="1"/>
  <c r="JU5" i="1"/>
  <c r="JT5" i="1"/>
  <c r="JS5" i="1"/>
  <c r="JR5" i="1"/>
  <c r="JQ5" i="1"/>
  <c r="JP5" i="1"/>
  <c r="JO5" i="1"/>
  <c r="JN5" i="1"/>
  <c r="JM5" i="1"/>
  <c r="JL5" i="1"/>
  <c r="JK5" i="1"/>
  <c r="JJ5" i="1"/>
  <c r="JI5" i="1"/>
  <c r="JH5" i="1"/>
  <c r="JG5" i="1"/>
  <c r="JF5" i="1"/>
  <c r="JE5" i="1"/>
  <c r="JD5" i="1"/>
  <c r="JC5" i="1"/>
  <c r="JB5" i="1"/>
  <c r="JA5" i="1"/>
  <c r="IZ5" i="1"/>
  <c r="IY5" i="1"/>
  <c r="IX5" i="1"/>
  <c r="IW5" i="1"/>
  <c r="IV5" i="1"/>
  <c r="IU5" i="1"/>
  <c r="IT5" i="1"/>
  <c r="IS5" i="1"/>
  <c r="IR5" i="1"/>
  <c r="IQ5" i="1"/>
  <c r="IP5" i="1"/>
  <c r="IO5" i="1"/>
  <c r="IN5" i="1"/>
  <c r="IM5" i="1"/>
  <c r="IL5" i="1"/>
  <c r="IK5" i="1"/>
  <c r="IJ5" i="1"/>
  <c r="II5" i="1"/>
  <c r="IH5" i="1"/>
  <c r="IG5" i="1"/>
  <c r="IF5" i="1"/>
  <c r="IE5" i="1"/>
  <c r="ID5" i="1"/>
  <c r="IC5" i="1"/>
  <c r="IB5" i="1"/>
  <c r="IA5" i="1"/>
  <c r="HZ5" i="1"/>
  <c r="HY5" i="1"/>
  <c r="HX5" i="1"/>
  <c r="HW5" i="1"/>
  <c r="HV5" i="1"/>
  <c r="HU5" i="1"/>
  <c r="HT5" i="1"/>
  <c r="HS5" i="1"/>
  <c r="HR5" i="1"/>
  <c r="HQ5" i="1"/>
  <c r="HP5" i="1"/>
  <c r="HO5" i="1"/>
  <c r="HN5" i="1"/>
  <c r="HM5" i="1"/>
  <c r="HL5" i="1"/>
  <c r="HK5" i="1"/>
  <c r="HJ5" i="1"/>
  <c r="HI5" i="1"/>
  <c r="HH5" i="1"/>
  <c r="HG5" i="1"/>
  <c r="HF5" i="1"/>
  <c r="HE5" i="1"/>
  <c r="HD5" i="1"/>
  <c r="HC5" i="1"/>
  <c r="HB5" i="1"/>
  <c r="HA5" i="1"/>
  <c r="GZ5" i="1"/>
  <c r="GY5" i="1"/>
  <c r="GX5" i="1"/>
  <c r="GW5" i="1"/>
  <c r="GV5" i="1"/>
  <c r="GU5" i="1"/>
  <c r="GT5" i="1"/>
  <c r="GS5" i="1"/>
  <c r="GR5" i="1"/>
  <c r="GQ5" i="1"/>
  <c r="GP5" i="1"/>
  <c r="GO5" i="1"/>
  <c r="GN5" i="1"/>
  <c r="GM5" i="1"/>
  <c r="GL5" i="1"/>
  <c r="GK5" i="1"/>
  <c r="GJ5" i="1"/>
  <c r="GI5" i="1"/>
  <c r="GH5" i="1"/>
  <c r="GG5" i="1"/>
  <c r="GF5" i="1"/>
  <c r="GE5" i="1"/>
  <c r="GD5" i="1"/>
  <c r="GC5" i="1"/>
  <c r="GB5" i="1"/>
  <c r="GA5" i="1"/>
  <c r="FZ5" i="1"/>
  <c r="FY5" i="1"/>
  <c r="FX5" i="1"/>
  <c r="FW5" i="1"/>
  <c r="FV5" i="1"/>
  <c r="FU5" i="1"/>
  <c r="FT5" i="1"/>
  <c r="FS5" i="1"/>
  <c r="FR5" i="1"/>
  <c r="FQ5" i="1"/>
  <c r="QB2" i="1"/>
  <c r="QA2" i="1"/>
  <c r="PZ2" i="1"/>
  <c r="PY2" i="1"/>
  <c r="PX2" i="1"/>
  <c r="PW2" i="1"/>
  <c r="PV2" i="1"/>
  <c r="PU2" i="1"/>
  <c r="PT2" i="1"/>
  <c r="PS2" i="1"/>
  <c r="PR2" i="1"/>
  <c r="PQ2" i="1"/>
  <c r="PP2" i="1"/>
  <c r="PO2" i="1"/>
  <c r="PN2" i="1"/>
  <c r="PM2" i="1"/>
  <c r="PL2" i="1"/>
  <c r="PK2" i="1"/>
  <c r="PJ2" i="1"/>
  <c r="PI2" i="1"/>
  <c r="PH2" i="1"/>
  <c r="PG2" i="1"/>
  <c r="PF2" i="1"/>
  <c r="PE2" i="1"/>
  <c r="PD2" i="1"/>
  <c r="PC2" i="1"/>
  <c r="PB2" i="1"/>
  <c r="PA2" i="1"/>
  <c r="OZ2" i="1"/>
  <c r="OY2" i="1"/>
  <c r="OX2" i="1"/>
  <c r="OW2" i="1"/>
  <c r="OV2" i="1"/>
  <c r="OU2" i="1"/>
  <c r="OT2" i="1"/>
  <c r="OS2" i="1"/>
  <c r="OR2" i="1"/>
  <c r="OQ2" i="1"/>
  <c r="OP2" i="1"/>
  <c r="OO2" i="1"/>
  <c r="ON2" i="1"/>
  <c r="OM2" i="1"/>
  <c r="OL2" i="1"/>
  <c r="OK2" i="1"/>
  <c r="OJ2" i="1"/>
  <c r="OI2" i="1"/>
  <c r="OH2" i="1"/>
  <c r="OG2" i="1"/>
  <c r="OF2" i="1"/>
  <c r="OE2" i="1"/>
  <c r="OD2" i="1"/>
  <c r="OC2" i="1"/>
  <c r="OB2" i="1"/>
  <c r="OA2" i="1"/>
  <c r="NZ2" i="1"/>
  <c r="NY2" i="1"/>
  <c r="NX2" i="1"/>
  <c r="NW2" i="1"/>
  <c r="NV2" i="1"/>
  <c r="NU2" i="1"/>
  <c r="NT2" i="1"/>
  <c r="NS2" i="1"/>
  <c r="NR2" i="1"/>
  <c r="NQ2" i="1"/>
  <c r="NP2" i="1"/>
  <c r="NO2" i="1"/>
  <c r="NN2" i="1"/>
  <c r="NM2" i="1"/>
  <c r="NL2" i="1"/>
  <c r="NK2" i="1"/>
  <c r="NJ2" i="1"/>
  <c r="NI2" i="1"/>
  <c r="NH2" i="1"/>
  <c r="NG2" i="1"/>
  <c r="NF2" i="1"/>
  <c r="NE2" i="1"/>
  <c r="ND2" i="1"/>
  <c r="NC2" i="1"/>
  <c r="NB2" i="1"/>
  <c r="NA2" i="1"/>
  <c r="MZ2" i="1"/>
  <c r="MY2" i="1"/>
  <c r="MX2" i="1"/>
  <c r="MW2" i="1"/>
  <c r="MV2" i="1"/>
  <c r="MU2" i="1"/>
  <c r="MT2" i="1"/>
  <c r="MS2" i="1"/>
  <c r="MR2" i="1"/>
  <c r="MQ2" i="1"/>
  <c r="MP2" i="1"/>
  <c r="MO2" i="1"/>
  <c r="MN2" i="1"/>
  <c r="MM2" i="1"/>
  <c r="ML2" i="1"/>
  <c r="MK2" i="1"/>
  <c r="MJ2" i="1"/>
  <c r="MI2" i="1"/>
  <c r="MH2" i="1"/>
  <c r="MG2" i="1"/>
  <c r="MF2" i="1"/>
  <c r="ME2" i="1"/>
  <c r="MD2" i="1"/>
  <c r="MC2" i="1"/>
  <c r="MB2" i="1"/>
  <c r="MA2" i="1"/>
  <c r="LZ2" i="1"/>
  <c r="LY2" i="1"/>
  <c r="LX2" i="1"/>
  <c r="LW2" i="1"/>
  <c r="LV2" i="1"/>
  <c r="LU2" i="1"/>
  <c r="LT2" i="1"/>
  <c r="LS2" i="1"/>
  <c r="LR2" i="1"/>
  <c r="LQ2" i="1"/>
  <c r="LP2" i="1"/>
  <c r="LO2" i="1"/>
  <c r="LN2" i="1"/>
  <c r="LM2" i="1"/>
  <c r="LL2" i="1"/>
  <c r="LK2" i="1"/>
  <c r="LJ2" i="1"/>
  <c r="LI2" i="1"/>
  <c r="LH2" i="1"/>
  <c r="LG2" i="1"/>
  <c r="LF2" i="1"/>
  <c r="LE2" i="1"/>
  <c r="LD2" i="1"/>
  <c r="LC2" i="1"/>
  <c r="LB2" i="1"/>
  <c r="LA2" i="1"/>
  <c r="KZ2" i="1"/>
  <c r="KY2" i="1"/>
  <c r="KX2" i="1"/>
  <c r="KW2" i="1"/>
  <c r="KV2" i="1"/>
  <c r="KU2" i="1"/>
  <c r="KT2" i="1"/>
  <c r="KS2" i="1"/>
  <c r="KR2" i="1"/>
  <c r="KQ2" i="1"/>
  <c r="KP2" i="1"/>
  <c r="KO2" i="1"/>
  <c r="KN2" i="1"/>
  <c r="KM2" i="1"/>
  <c r="KL2" i="1"/>
  <c r="KK2" i="1"/>
  <c r="KJ2" i="1"/>
  <c r="KI2" i="1"/>
  <c r="KH2" i="1"/>
  <c r="KG2" i="1"/>
  <c r="KF2" i="1"/>
  <c r="KE2" i="1"/>
  <c r="KD2" i="1"/>
  <c r="KC2" i="1"/>
  <c r="KB2" i="1"/>
  <c r="KA2" i="1"/>
  <c r="JZ2" i="1"/>
  <c r="JY2" i="1"/>
  <c r="JX2" i="1"/>
  <c r="JW2" i="1"/>
  <c r="JV2" i="1"/>
  <c r="JU2" i="1"/>
  <c r="JT2" i="1"/>
  <c r="JS2" i="1"/>
  <c r="JR2" i="1"/>
  <c r="JQ2" i="1"/>
  <c r="JP2" i="1"/>
  <c r="JO2" i="1"/>
  <c r="JN2" i="1"/>
  <c r="JM2" i="1"/>
  <c r="JL2" i="1"/>
  <c r="JK2" i="1"/>
  <c r="JJ2" i="1"/>
  <c r="JI2" i="1"/>
  <c r="JH2" i="1"/>
  <c r="JG2" i="1"/>
  <c r="JF2" i="1"/>
  <c r="JE2" i="1"/>
  <c r="JD2" i="1"/>
  <c r="JC2" i="1"/>
  <c r="JB2" i="1"/>
  <c r="JA2" i="1"/>
  <c r="IZ2" i="1"/>
  <c r="IY2" i="1"/>
  <c r="IX2" i="1"/>
  <c r="IW2" i="1"/>
  <c r="IV2" i="1"/>
  <c r="IU2" i="1"/>
  <c r="IT2" i="1"/>
  <c r="IS2" i="1"/>
  <c r="IR2" i="1"/>
  <c r="IQ2" i="1"/>
  <c r="IP2" i="1"/>
  <c r="IO2" i="1"/>
  <c r="IN2" i="1"/>
  <c r="IM2" i="1"/>
  <c r="IL2" i="1"/>
  <c r="IK2" i="1"/>
  <c r="IJ2" i="1"/>
  <c r="II2" i="1"/>
  <c r="IH2" i="1"/>
  <c r="IG2" i="1"/>
  <c r="IF2" i="1"/>
  <c r="IE2" i="1"/>
  <c r="ID2" i="1"/>
  <c r="IC2" i="1"/>
  <c r="IB2" i="1"/>
  <c r="IA2" i="1"/>
  <c r="HZ2" i="1"/>
  <c r="HY2" i="1"/>
  <c r="HX2" i="1"/>
  <c r="HW2" i="1"/>
  <c r="HV2" i="1"/>
  <c r="HU2" i="1"/>
  <c r="HT2" i="1"/>
  <c r="HS2" i="1"/>
  <c r="HR2" i="1"/>
  <c r="HQ2" i="1"/>
  <c r="HP2" i="1"/>
  <c r="HO2" i="1"/>
  <c r="HN2" i="1"/>
  <c r="HM2" i="1"/>
  <c r="HL2" i="1"/>
  <c r="HK2" i="1"/>
  <c r="HJ2" i="1"/>
  <c r="HI2" i="1"/>
  <c r="HH2" i="1"/>
  <c r="HG2" i="1"/>
  <c r="HF2" i="1"/>
  <c r="HE2" i="1"/>
  <c r="HD2" i="1"/>
  <c r="HC2" i="1"/>
  <c r="HB2" i="1"/>
  <c r="HA2" i="1"/>
  <c r="GZ2" i="1"/>
  <c r="GY2" i="1"/>
  <c r="GX2" i="1"/>
  <c r="GW2" i="1"/>
  <c r="GV2" i="1"/>
  <c r="GU2" i="1"/>
  <c r="GT2" i="1"/>
  <c r="GS2" i="1"/>
  <c r="GR2" i="1"/>
  <c r="GQ2" i="1"/>
  <c r="GP2" i="1"/>
  <c r="GO2" i="1"/>
  <c r="GN2" i="1"/>
  <c r="GM2" i="1"/>
  <c r="GL2" i="1"/>
  <c r="GK2" i="1"/>
  <c r="GJ2" i="1"/>
  <c r="GI2" i="1"/>
  <c r="GH2" i="1"/>
  <c r="GG2" i="1"/>
  <c r="GF2" i="1"/>
  <c r="GE2" i="1"/>
  <c r="GD2" i="1"/>
  <c r="GC2" i="1"/>
  <c r="GB2" i="1"/>
  <c r="GA2" i="1"/>
  <c r="FZ2" i="1"/>
  <c r="FY2" i="1"/>
  <c r="FX2" i="1"/>
  <c r="FW2" i="1"/>
  <c r="FV2" i="1"/>
  <c r="FU2" i="1"/>
  <c r="FT2" i="1"/>
  <c r="FS2" i="1"/>
  <c r="FR2" i="1"/>
  <c r="FQ2" i="1"/>
  <c r="WE2" i="1" l="1"/>
  <c r="YZ5" i="1"/>
  <c r="YY4" i="1"/>
  <c r="YY5" i="1" s="1"/>
  <c r="YX4" i="1"/>
  <c r="YX5" i="1" s="1"/>
  <c r="YW4" i="1"/>
  <c r="YW5" i="1" s="1"/>
  <c r="YV4" i="1"/>
  <c r="YV5" i="1" s="1"/>
  <c r="YU4" i="1"/>
  <c r="YU5" i="1" s="1"/>
  <c r="YT4" i="1"/>
  <c r="YT5" i="1" s="1"/>
  <c r="YS4" i="1"/>
  <c r="YS5" i="1" s="1"/>
  <c r="YQ4" i="1"/>
  <c r="YQ5" i="1" s="1"/>
  <c r="YP4" i="1"/>
  <c r="YP5" i="1" s="1"/>
  <c r="YO4" i="1"/>
  <c r="YO5" i="1" s="1"/>
  <c r="YN4" i="1"/>
  <c r="YN5" i="1" s="1"/>
  <c r="YM4" i="1"/>
  <c r="YM5" i="1" s="1"/>
  <c r="YL4" i="1"/>
  <c r="YL5" i="1" s="1"/>
  <c r="YK4" i="1"/>
  <c r="YK5" i="1" s="1"/>
  <c r="YI4" i="1"/>
  <c r="YI5" i="1" s="1"/>
  <c r="YH4" i="1"/>
  <c r="YH5" i="1" s="1"/>
  <c r="YG4" i="1"/>
  <c r="YG5" i="1" s="1"/>
  <c r="YF4" i="1"/>
  <c r="YF5" i="1" s="1"/>
  <c r="YE4" i="1"/>
  <c r="YE5" i="1" s="1"/>
  <c r="YD4" i="1"/>
  <c r="YD5" i="1" s="1"/>
  <c r="YC4" i="1"/>
  <c r="YC5" i="1" s="1"/>
  <c r="YA4" i="1"/>
  <c r="YA5" i="1" s="1"/>
  <c r="XZ4" i="1"/>
  <c r="XZ5" i="1" s="1"/>
  <c r="XY4" i="1"/>
  <c r="XY5" i="1" s="1"/>
  <c r="XX4" i="1"/>
  <c r="XX5" i="1" s="1"/>
  <c r="XW4" i="1"/>
  <c r="XW5" i="1" s="1"/>
  <c r="XV4" i="1"/>
  <c r="XV5" i="1" s="1"/>
  <c r="XU4" i="1"/>
  <c r="XU5" i="1" s="1"/>
  <c r="XS4" i="1"/>
  <c r="XS5" i="1" s="1"/>
  <c r="XR4" i="1"/>
  <c r="XR5" i="1" s="1"/>
  <c r="XQ4" i="1"/>
  <c r="XQ5" i="1" s="1"/>
  <c r="XP4" i="1"/>
  <c r="XP5" i="1" s="1"/>
  <c r="XO4" i="1"/>
  <c r="XO5" i="1" s="1"/>
  <c r="XN4" i="1"/>
  <c r="XN5" i="1" s="1"/>
  <c r="XM4" i="1"/>
  <c r="XM5" i="1" s="1"/>
  <c r="XK4" i="1"/>
  <c r="XK5" i="1" s="1"/>
  <c r="XJ4" i="1"/>
  <c r="XJ5" i="1" s="1"/>
  <c r="XI4" i="1"/>
  <c r="XI5" i="1" s="1"/>
  <c r="XH4" i="1"/>
  <c r="XH5" i="1" s="1"/>
  <c r="XG4" i="1"/>
  <c r="XG5" i="1" s="1"/>
  <c r="XF4" i="1"/>
  <c r="XF5" i="1" s="1"/>
  <c r="XE4" i="1"/>
  <c r="XE5" i="1" s="1"/>
  <c r="WZ4" i="1"/>
  <c r="WZ5" i="1" s="1"/>
  <c r="XC4" i="1"/>
  <c r="XC5" i="1" s="1"/>
  <c r="XB4" i="1"/>
  <c r="XB5" i="1" s="1"/>
  <c r="XA4" i="1"/>
  <c r="XA5" i="1" s="1"/>
  <c r="WY4" i="1"/>
  <c r="WY5" i="1" s="1"/>
  <c r="WX4" i="1"/>
  <c r="WX5" i="1" s="1"/>
  <c r="WW4" i="1"/>
  <c r="WW5" i="1" s="1"/>
  <c r="WU4" i="1"/>
  <c r="WU5" i="1" s="1"/>
  <c r="WT4" i="1"/>
  <c r="WT5" i="1" s="1"/>
  <c r="WS4" i="1"/>
  <c r="WS5" i="1" s="1"/>
  <c r="WR4" i="1"/>
  <c r="WR5" i="1" s="1"/>
  <c r="WQ4" i="1"/>
  <c r="WQ5" i="1" s="1"/>
  <c r="WP4" i="1"/>
  <c r="WP5" i="1" s="1"/>
  <c r="WO4" i="1"/>
  <c r="WO5" i="1" s="1"/>
  <c r="WV5" i="1"/>
  <c r="XD5" i="1"/>
  <c r="XL5" i="1"/>
  <c r="XT5" i="1"/>
  <c r="YB5" i="1"/>
  <c r="YJ5" i="1"/>
  <c r="YR5" i="1"/>
  <c r="WV2" i="1"/>
  <c r="XD2" i="1"/>
  <c r="XL2" i="1"/>
  <c r="XT2" i="1"/>
  <c r="YB2" i="1"/>
  <c r="YJ2" i="1"/>
  <c r="YR2" i="1"/>
  <c r="YZ2" i="1"/>
  <c r="WP2" i="1"/>
  <c r="WQ2" i="1"/>
  <c r="WR2" i="1"/>
  <c r="WS2" i="1"/>
  <c r="WT2" i="1"/>
  <c r="WU2" i="1"/>
  <c r="WW2" i="1"/>
  <c r="WX2" i="1"/>
  <c r="WY2" i="1"/>
  <c r="WZ2" i="1"/>
  <c r="XA2" i="1"/>
  <c r="XB2" i="1"/>
  <c r="XC2" i="1"/>
  <c r="XE2" i="1"/>
  <c r="XF2" i="1"/>
  <c r="XG2" i="1"/>
  <c r="XH2" i="1"/>
  <c r="XI2" i="1"/>
  <c r="XJ2" i="1"/>
  <c r="XK2" i="1"/>
  <c r="XM2" i="1"/>
  <c r="XN2" i="1"/>
  <c r="XO2" i="1"/>
  <c r="XP2" i="1"/>
  <c r="XQ2" i="1"/>
  <c r="XR2" i="1"/>
  <c r="XS2" i="1"/>
  <c r="XU2" i="1"/>
  <c r="XV2" i="1"/>
  <c r="XW2" i="1"/>
  <c r="XX2" i="1"/>
  <c r="XY2" i="1"/>
  <c r="XZ2" i="1"/>
  <c r="YA2" i="1"/>
  <c r="YC2" i="1"/>
  <c r="YD2" i="1"/>
  <c r="YE2" i="1"/>
  <c r="YF2" i="1"/>
  <c r="YG2" i="1"/>
  <c r="YH2" i="1"/>
  <c r="YI2" i="1"/>
  <c r="YK2" i="1"/>
  <c r="YL2" i="1"/>
  <c r="YM2" i="1"/>
  <c r="YN2" i="1"/>
  <c r="YO2" i="1"/>
  <c r="YP2" i="1"/>
  <c r="YQ2" i="1"/>
  <c r="YS2" i="1"/>
  <c r="YT2" i="1"/>
  <c r="YU2" i="1"/>
  <c r="YV2" i="1"/>
  <c r="YW2" i="1"/>
  <c r="YX2" i="1"/>
  <c r="YY2" i="1"/>
  <c r="WO2" i="1"/>
  <c r="QT4" i="1" l="1"/>
  <c r="QT5" i="1" s="1"/>
  <c r="QU4" i="1"/>
  <c r="QU5" i="1" s="1"/>
  <c r="QV4" i="1"/>
  <c r="QV5" i="1" s="1"/>
  <c r="QW4" i="1"/>
  <c r="QW5" i="1" s="1"/>
  <c r="QX4" i="1"/>
  <c r="QX5" i="1" s="1"/>
  <c r="QY4" i="1"/>
  <c r="QY5" i="1" s="1"/>
  <c r="QZ4" i="1"/>
  <c r="QZ5" i="1" s="1"/>
  <c r="QS4" i="1"/>
  <c r="QS5" i="1" s="1"/>
  <c r="QL4" i="1"/>
  <c r="QL5" i="1" s="1"/>
  <c r="QM4" i="1"/>
  <c r="QM5" i="1" s="1"/>
  <c r="QN4" i="1"/>
  <c r="QN5" i="1" s="1"/>
  <c r="QO4" i="1"/>
  <c r="QO5" i="1" s="1"/>
  <c r="QP4" i="1"/>
  <c r="QP5" i="1" s="1"/>
  <c r="QQ4" i="1"/>
  <c r="QQ5" i="1" s="1"/>
  <c r="QR4" i="1"/>
  <c r="QR5" i="1" s="1"/>
  <c r="QK4" i="1"/>
  <c r="QK5" i="1" s="1"/>
  <c r="QL2" i="1"/>
  <c r="QM2" i="1"/>
  <c r="QN2" i="1"/>
  <c r="QO2" i="1"/>
  <c r="QP2" i="1"/>
  <c r="QQ2" i="1"/>
  <c r="QR2" i="1"/>
  <c r="QS2" i="1"/>
  <c r="QT2" i="1"/>
  <c r="QU2" i="1"/>
  <c r="QV2" i="1"/>
  <c r="QW2" i="1"/>
  <c r="QX2" i="1"/>
  <c r="QY2" i="1"/>
  <c r="QZ2" i="1"/>
  <c r="QK2" i="1"/>
  <c r="QD4" i="1"/>
  <c r="QD5" i="1" s="1"/>
  <c r="QE4" i="1"/>
  <c r="QE5" i="1" s="1"/>
  <c r="QF4" i="1"/>
  <c r="QF5" i="1" s="1"/>
  <c r="QG4" i="1"/>
  <c r="QG5" i="1" s="1"/>
  <c r="QH4" i="1"/>
  <c r="QH5" i="1" s="1"/>
  <c r="QI4" i="1"/>
  <c r="QI5" i="1" s="1"/>
  <c r="QJ4" i="1"/>
  <c r="QJ5" i="1" s="1"/>
  <c r="QC4" i="1"/>
  <c r="QC5" i="1" s="1"/>
  <c r="QD2" i="1"/>
  <c r="QE2" i="1"/>
  <c r="QF2" i="1"/>
  <c r="QG2" i="1"/>
  <c r="QI2" i="1"/>
  <c r="QJ2" i="1"/>
  <c r="QH2" i="1"/>
  <c r="QC2" i="1"/>
  <c r="WF4" i="1" l="1"/>
  <c r="WF5" i="1" s="1"/>
  <c r="WE4" i="1"/>
  <c r="WE5" i="1" s="1"/>
  <c r="WD4" i="1"/>
  <c r="WD5" i="1" s="1"/>
  <c r="WC4" i="1"/>
  <c r="WC5" i="1" s="1"/>
  <c r="WB4" i="1"/>
  <c r="WB5" i="1" s="1"/>
  <c r="WA4" i="1"/>
  <c r="WA5" i="1" s="1"/>
  <c r="VZ4" i="1"/>
  <c r="VZ5" i="1" s="1"/>
  <c r="VY4" i="1"/>
  <c r="VY5" i="1" s="1"/>
  <c r="VX4" i="1"/>
  <c r="VX5" i="1" s="1"/>
  <c r="VW4" i="1"/>
  <c r="VW5" i="1" s="1"/>
  <c r="VV4" i="1"/>
  <c r="VV5" i="1" s="1"/>
  <c r="VU4" i="1"/>
  <c r="VU5" i="1" s="1"/>
  <c r="VT4" i="1"/>
  <c r="VT5" i="1" s="1"/>
  <c r="VS4" i="1"/>
  <c r="VS5" i="1" s="1"/>
  <c r="VR4" i="1"/>
  <c r="VR5" i="1" s="1"/>
  <c r="VQ4" i="1"/>
  <c r="VQ5" i="1" s="1"/>
  <c r="VP4" i="1"/>
  <c r="VP5" i="1" s="1"/>
  <c r="VO4" i="1"/>
  <c r="VO5" i="1" s="1"/>
  <c r="VN4" i="1"/>
  <c r="VN5" i="1" s="1"/>
  <c r="VM4" i="1"/>
  <c r="VM5" i="1" s="1"/>
  <c r="VL4" i="1"/>
  <c r="VL5" i="1" s="1"/>
  <c r="VK4" i="1"/>
  <c r="VK5" i="1" s="1"/>
  <c r="VJ4" i="1"/>
  <c r="VJ5" i="1" s="1"/>
  <c r="VI4" i="1"/>
  <c r="VI5" i="1" s="1"/>
  <c r="VG4" i="1"/>
  <c r="VG5" i="1" s="1"/>
  <c r="VF4" i="1"/>
  <c r="VF5" i="1" s="1"/>
  <c r="VE4" i="1"/>
  <c r="VE5" i="1" s="1"/>
  <c r="VD4" i="1"/>
  <c r="VD5" i="1" s="1"/>
  <c r="VC4" i="1"/>
  <c r="VC5" i="1" s="1"/>
  <c r="VB4" i="1"/>
  <c r="VB5" i="1" s="1"/>
  <c r="UZ4" i="1"/>
  <c r="UZ5" i="1" s="1"/>
  <c r="VH4" i="1"/>
  <c r="VH5" i="1" s="1"/>
  <c r="VA4" i="1"/>
  <c r="VA5" i="1" s="1"/>
  <c r="UY4" i="1"/>
  <c r="UY5" i="1" s="1"/>
  <c r="UX4" i="1"/>
  <c r="UX5" i="1" s="1"/>
  <c r="UW4" i="1"/>
  <c r="UW5" i="1" s="1"/>
  <c r="UV4" i="1"/>
  <c r="UV5" i="1" s="1"/>
  <c r="UU4" i="1"/>
  <c r="UU5" i="1" s="1"/>
  <c r="UT4" i="1"/>
  <c r="UT5" i="1" s="1"/>
  <c r="US4" i="1"/>
  <c r="US5" i="1" s="1"/>
  <c r="UR4" i="1"/>
  <c r="UR5" i="1" s="1"/>
  <c r="UQ4" i="1"/>
  <c r="UQ5" i="1" s="1"/>
  <c r="UP4" i="1"/>
  <c r="UP5" i="1" s="1"/>
  <c r="UO4" i="1"/>
  <c r="UO5" i="1" s="1"/>
  <c r="UN4" i="1"/>
  <c r="UN5" i="1" s="1"/>
  <c r="UM4" i="1"/>
  <c r="UM5" i="1" s="1"/>
  <c r="UL4" i="1"/>
  <c r="UL5" i="1" s="1"/>
  <c r="UK4" i="1"/>
  <c r="UK5" i="1" s="1"/>
  <c r="VX2" i="1"/>
  <c r="WF2" i="1"/>
  <c r="VR2" i="1"/>
  <c r="VS2" i="1"/>
  <c r="VT2" i="1"/>
  <c r="VU2" i="1"/>
  <c r="VV2" i="1"/>
  <c r="VW2" i="1"/>
  <c r="VZ2" i="1"/>
  <c r="WA2" i="1"/>
  <c r="WB2" i="1"/>
  <c r="WC2" i="1"/>
  <c r="WD2" i="1"/>
  <c r="VY2" i="1"/>
  <c r="VQ2" i="1"/>
  <c r="VH2" i="1"/>
  <c r="VI2" i="1"/>
  <c r="VJ2" i="1"/>
  <c r="VK2" i="1"/>
  <c r="VL2" i="1"/>
  <c r="VM2" i="1"/>
  <c r="VN2" i="1"/>
  <c r="VO2" i="1"/>
  <c r="VB2" i="1"/>
  <c r="VC2" i="1"/>
  <c r="VD2" i="1"/>
  <c r="VE2" i="1"/>
  <c r="VF2" i="1"/>
  <c r="VG2" i="1"/>
  <c r="VA2" i="1"/>
  <c r="UL2" i="1"/>
  <c r="UM2" i="1"/>
  <c r="UN2" i="1"/>
  <c r="UO2" i="1"/>
  <c r="UP2" i="1"/>
  <c r="UQ2" i="1"/>
  <c r="UR2" i="1"/>
  <c r="US2" i="1"/>
  <c r="UT2" i="1"/>
  <c r="UU2" i="1"/>
  <c r="UV2" i="1"/>
  <c r="UW2" i="1"/>
  <c r="UX2" i="1"/>
  <c r="UY2" i="1"/>
  <c r="UZ2" i="1"/>
  <c r="VP2" i="1"/>
  <c r="UK2" i="1"/>
  <c r="CP4" i="1" l="1"/>
  <c r="CP5" i="1" s="1"/>
  <c r="CO4" i="1"/>
  <c r="CO5" i="1" s="1"/>
  <c r="CN4" i="1"/>
  <c r="CN5" i="1" s="1"/>
  <c r="CM4" i="1"/>
  <c r="CM5" i="1" s="1"/>
  <c r="CL4" i="1"/>
  <c r="CL5" i="1" s="1"/>
  <c r="CK4" i="1"/>
  <c r="CK5" i="1" s="1"/>
  <c r="CJ4" i="1"/>
  <c r="CJ5" i="1" s="1"/>
  <c r="CI4" i="1"/>
  <c r="CI5" i="1" s="1"/>
  <c r="CH4" i="1"/>
  <c r="CH5" i="1" s="1"/>
  <c r="CG4" i="1"/>
  <c r="CG5" i="1" s="1"/>
  <c r="CF4" i="1"/>
  <c r="CF5" i="1" s="1"/>
  <c r="CE4" i="1"/>
  <c r="CE5" i="1" s="1"/>
  <c r="CD4" i="1"/>
  <c r="CD5" i="1" s="1"/>
  <c r="CC4" i="1"/>
  <c r="CC5" i="1" s="1"/>
  <c r="CB4" i="1"/>
  <c r="CB5" i="1" s="1"/>
  <c r="CA4" i="1"/>
  <c r="CA5" i="1" s="1"/>
  <c r="BZ4" i="1"/>
  <c r="BZ5" i="1" s="1"/>
  <c r="BY4" i="1"/>
  <c r="BY5" i="1" s="1"/>
  <c r="BX4" i="1"/>
  <c r="BX5" i="1" s="1"/>
  <c r="BW4" i="1"/>
  <c r="BW5" i="1" s="1"/>
  <c r="BV4" i="1"/>
  <c r="BV5" i="1" s="1"/>
  <c r="BU4" i="1"/>
  <c r="BU5" i="1" s="1"/>
  <c r="BT4" i="1"/>
  <c r="BT5" i="1" s="1"/>
  <c r="BS4" i="1"/>
  <c r="BS5" i="1" s="1"/>
  <c r="BR4" i="1"/>
  <c r="BR5" i="1" s="1"/>
  <c r="BQ4" i="1"/>
  <c r="BQ5" i="1" s="1"/>
  <c r="BP4" i="1"/>
  <c r="BP5" i="1" s="1"/>
  <c r="BO4" i="1"/>
  <c r="BO5" i="1" s="1"/>
  <c r="BN4" i="1"/>
  <c r="BN5" i="1" s="1"/>
  <c r="BM4" i="1"/>
  <c r="BM5" i="1" s="1"/>
  <c r="BL4" i="1"/>
  <c r="BL5" i="1" s="1"/>
  <c r="BK4" i="1"/>
  <c r="BK5" i="1" s="1"/>
  <c r="BJ4" i="1"/>
  <c r="BJ5" i="1" s="1"/>
  <c r="BI4" i="1"/>
  <c r="BI5" i="1" s="1"/>
  <c r="BH4" i="1"/>
  <c r="BH5" i="1" s="1"/>
  <c r="BG4" i="1"/>
  <c r="BG5" i="1" s="1"/>
  <c r="BF4" i="1"/>
  <c r="BF5" i="1" s="1"/>
  <c r="BE4" i="1"/>
  <c r="BE5" i="1" s="1"/>
  <c r="BB4" i="1"/>
  <c r="BD4" i="1"/>
  <c r="BD5" i="1" s="1"/>
  <c r="BC4" i="1"/>
  <c r="BC5" i="1" s="1"/>
  <c r="BD2" i="1"/>
  <c r="BE2" i="1"/>
  <c r="BF2" i="1"/>
  <c r="BG2" i="1"/>
  <c r="BH2" i="1"/>
  <c r="BI2" i="1"/>
  <c r="BJ2" i="1"/>
  <c r="BK2" i="1"/>
  <c r="BL2" i="1"/>
  <c r="BM2" i="1"/>
  <c r="BN2" i="1"/>
  <c r="BO2" i="1"/>
  <c r="BP2" i="1"/>
  <c r="BQ2" i="1"/>
  <c r="BR2" i="1"/>
  <c r="BS2" i="1"/>
  <c r="BT2" i="1"/>
  <c r="BU2" i="1"/>
  <c r="BV2" i="1"/>
  <c r="BW2" i="1"/>
  <c r="BX2" i="1"/>
  <c r="BY2" i="1"/>
  <c r="BZ2" i="1"/>
  <c r="CA2" i="1"/>
  <c r="CB2" i="1"/>
  <c r="CC2" i="1"/>
  <c r="CD2" i="1"/>
  <c r="CE2" i="1"/>
  <c r="CF2" i="1"/>
  <c r="CG2" i="1"/>
  <c r="CH2" i="1"/>
  <c r="CI2" i="1"/>
  <c r="CJ2" i="1"/>
  <c r="CK2" i="1"/>
  <c r="CL2" i="1"/>
  <c r="CM2" i="1"/>
  <c r="CN2" i="1"/>
  <c r="CO2" i="1"/>
  <c r="CP2" i="1"/>
  <c r="BC2" i="1"/>
  <c r="FO4" i="1"/>
  <c r="FO5" i="1" s="1"/>
  <c r="FN4" i="1"/>
  <c r="FN5" i="1" s="1"/>
  <c r="FM4" i="1"/>
  <c r="FM5" i="1" s="1"/>
  <c r="FL4" i="1"/>
  <c r="FL5" i="1" s="1"/>
  <c r="FK4" i="1"/>
  <c r="FK5" i="1" s="1"/>
  <c r="FJ4" i="1"/>
  <c r="FJ5" i="1" s="1"/>
  <c r="FI4" i="1"/>
  <c r="FI5" i="1" s="1"/>
  <c r="FH4" i="1"/>
  <c r="FH5" i="1" s="1"/>
  <c r="FG4" i="1"/>
  <c r="FG5" i="1" s="1"/>
  <c r="FF4" i="1"/>
  <c r="FF5" i="1" s="1"/>
  <c r="FE4" i="1"/>
  <c r="FE5" i="1" s="1"/>
  <c r="FO2" i="1"/>
  <c r="FN2" i="1"/>
  <c r="FM2" i="1"/>
  <c r="FL2" i="1"/>
  <c r="FK2" i="1"/>
  <c r="FJ2" i="1"/>
  <c r="FI2" i="1"/>
  <c r="FH2" i="1"/>
  <c r="FG2" i="1"/>
  <c r="FF2" i="1"/>
  <c r="FE2" i="1"/>
  <c r="E25" i="1" l="1"/>
  <c r="WN4" i="1" l="1"/>
  <c r="WN5" i="1" s="1"/>
  <c r="WM4" i="1"/>
  <c r="WM5" i="1" s="1"/>
  <c r="WL4" i="1"/>
  <c r="WL5" i="1" s="1"/>
  <c r="WK4" i="1"/>
  <c r="WK5" i="1" s="1"/>
  <c r="WJ4" i="1"/>
  <c r="WJ5" i="1" s="1"/>
  <c r="WI4" i="1"/>
  <c r="WI5" i="1" s="1"/>
  <c r="WH4" i="1"/>
  <c r="WH5" i="1" s="1"/>
  <c r="WG4" i="1"/>
  <c r="WG5" i="1" s="1"/>
  <c r="WN2" i="1"/>
  <c r="WM2" i="1"/>
  <c r="WL2" i="1"/>
  <c r="WK2" i="1"/>
  <c r="WJ2" i="1"/>
  <c r="WI2" i="1"/>
  <c r="WH2" i="1"/>
  <c r="WG2" i="1"/>
  <c r="AU4" i="1" l="1"/>
  <c r="AU5" i="1" s="1"/>
  <c r="BB2" i="1"/>
  <c r="BB5" i="1"/>
  <c r="BA2" i="1"/>
  <c r="AZ2" i="1"/>
  <c r="AY2" i="1"/>
  <c r="AX2" i="1"/>
  <c r="AW2" i="1"/>
  <c r="AU2" i="1"/>
  <c r="AV2" i="1"/>
  <c r="AT2" i="1"/>
  <c r="AS2" i="1"/>
  <c r="BA4" i="1" l="1"/>
  <c r="BA5" i="1" s="1"/>
  <c r="AX4" i="1"/>
  <c r="AX5" i="1" s="1"/>
  <c r="AW4" i="1"/>
  <c r="AW5" i="1" s="1"/>
  <c r="AV4" i="1"/>
  <c r="AV5" i="1" s="1"/>
  <c r="AT4" i="1"/>
  <c r="AT5" i="1" s="1"/>
  <c r="AS4" i="1"/>
  <c r="AS5" i="1" s="1"/>
  <c r="AZ4" i="1" l="1"/>
  <c r="AZ5" i="1" s="1"/>
  <c r="AY4" i="1"/>
  <c r="AY5" i="1" s="1"/>
</calcChain>
</file>

<file path=xl/sharedStrings.xml><?xml version="1.0" encoding="utf-8"?>
<sst xmlns="http://schemas.openxmlformats.org/spreadsheetml/2006/main" count="1446" uniqueCount="474">
  <si>
    <t>Ch.order</t>
  </si>
  <si>
    <t>Ch.0</t>
  </si>
  <si>
    <t>Ch.1</t>
  </si>
  <si>
    <t>Ch.2</t>
  </si>
  <si>
    <t>Ch.3</t>
  </si>
  <si>
    <t>Ch.4</t>
  </si>
  <si>
    <t>Ch.5</t>
  </si>
  <si>
    <t>Ch.6</t>
  </si>
  <si>
    <t>Ch.7</t>
  </si>
  <si>
    <t>Receiver type</t>
  </si>
  <si>
    <t>Servo rate</t>
  </si>
  <si>
    <t>PWM sync. Channel</t>
  </si>
  <si>
    <t>Profile select channel</t>
  </si>
  <si>
    <t>Vibration display</t>
  </si>
  <si>
    <t>AccVert filter decimation (1/100%)</t>
  </si>
  <si>
    <t>Channels</t>
  </si>
  <si>
    <t>THROTTLE</t>
  </si>
  <si>
    <t>AILERON</t>
  </si>
  <si>
    <t>ELEVATOR</t>
  </si>
  <si>
    <t>RUDDER</t>
  </si>
  <si>
    <t>GEAR</t>
  </si>
  <si>
    <t>AUX1</t>
  </si>
  <si>
    <t>AUX2</t>
  </si>
  <si>
    <t>AUX3</t>
  </si>
  <si>
    <t>RX type</t>
  </si>
  <si>
    <t>CPPM</t>
  </si>
  <si>
    <t>PWM</t>
  </si>
  <si>
    <t>SBUS</t>
  </si>
  <si>
    <t>Switch</t>
  </si>
  <si>
    <t>OFF</t>
  </si>
  <si>
    <t>ON</t>
  </si>
  <si>
    <t>Preset channel order</t>
  </si>
  <si>
    <t>Ch. Order</t>
  </si>
  <si>
    <t>PWM_Sync</t>
  </si>
  <si>
    <t>TxSeq</t>
  </si>
  <si>
    <t>Flight_Chan</t>
  </si>
  <si>
    <t>SpeedOut</t>
  </si>
  <si>
    <t>SpeedIn</t>
  </si>
  <si>
    <t>P1</t>
  </si>
  <si>
    <t>P1.n</t>
  </si>
  <si>
    <t>P2</t>
  </si>
  <si>
    <t>Vibe</t>
  </si>
  <si>
    <t>AccVert</t>
  </si>
  <si>
    <t>CH1</t>
  </si>
  <si>
    <t>CH2</t>
  </si>
  <si>
    <t>CH3</t>
  </si>
  <si>
    <t>CH4</t>
  </si>
  <si>
    <t>CH5</t>
  </si>
  <si>
    <t>CH6</t>
  </si>
  <si>
    <t>CH7</t>
  </si>
  <si>
    <t>CH8</t>
  </si>
  <si>
    <t>Custom channel order</t>
  </si>
  <si>
    <t>Select values from drop-downs within each cell</t>
  </si>
  <si>
    <t>Version</t>
  </si>
  <si>
    <t>Flight mode 1</t>
  </si>
  <si>
    <t>Flight mode 2</t>
  </si>
  <si>
    <t>Roll P</t>
  </si>
  <si>
    <t>Roll I</t>
  </si>
  <si>
    <t>Roll Limit</t>
  </si>
  <si>
    <t>Roll rate</t>
  </si>
  <si>
    <t>Acc Roll P</t>
  </si>
  <si>
    <t>Acc Roll trim</t>
  </si>
  <si>
    <t>Pitch P</t>
  </si>
  <si>
    <t>Pitch I</t>
  </si>
  <si>
    <t>Pitch limit</t>
  </si>
  <si>
    <t>Pitch rate</t>
  </si>
  <si>
    <t>Acc Pitch P</t>
  </si>
  <si>
    <t>Acc Pitch trim</t>
  </si>
  <si>
    <t>Yaw P</t>
  </si>
  <si>
    <t>Yaw I</t>
  </si>
  <si>
    <t>Yaw limit</t>
  </si>
  <si>
    <t>Yaw rate</t>
  </si>
  <si>
    <t>Yaw trim</t>
  </si>
  <si>
    <t>Zed P</t>
  </si>
  <si>
    <t>Zed I</t>
  </si>
  <si>
    <t>Zed lim</t>
  </si>
  <si>
    <t>Non-user settable</t>
  </si>
  <si>
    <t>PowerTrigger</t>
  </si>
  <si>
    <t>Orientation</t>
  </si>
  <si>
    <t>Reference</t>
  </si>
  <si>
    <t>Contrast</t>
  </si>
  <si>
    <t>ArmMode</t>
  </si>
  <si>
    <t>DisarmTimer</t>
  </si>
  <si>
    <t>MPULPF</t>
  </si>
  <si>
    <t>AccLPF</t>
  </si>
  <si>
    <t>GyroLPF</t>
  </si>
  <si>
    <t>CF_Factor</t>
  </si>
  <si>
    <t>Preset</t>
  </si>
  <si>
    <t>Curve 6</t>
  </si>
  <si>
    <t>Ch.</t>
  </si>
  <si>
    <t>Curve 5</t>
  </si>
  <si>
    <t>Curve 4</t>
  </si>
  <si>
    <t>Curve 3</t>
  </si>
  <si>
    <t>Curve 2</t>
  </si>
  <si>
    <t>Curve 1</t>
  </si>
  <si>
    <t>Offset 8</t>
  </si>
  <si>
    <t>Ele. Pol</t>
  </si>
  <si>
    <t>Offset 7</t>
  </si>
  <si>
    <t>Offset 6</t>
  </si>
  <si>
    <t>Offset 1</t>
  </si>
  <si>
    <t>Offset 2</t>
  </si>
  <si>
    <t>Offset 3</t>
  </si>
  <si>
    <t>Offset 4</t>
  </si>
  <si>
    <t>Offset 5</t>
  </si>
  <si>
    <t>OUT1 mixer</t>
  </si>
  <si>
    <t>P1.Val</t>
  </si>
  <si>
    <t>P2.Val</t>
  </si>
  <si>
    <t>Motor/Servo</t>
  </si>
  <si>
    <t>P1 Thr Vol</t>
  </si>
  <si>
    <t>P2 Thr. Vol</t>
  </si>
  <si>
    <t>Thr curve</t>
  </si>
  <si>
    <t>P1 Ail Vol</t>
  </si>
  <si>
    <t>P2 Ail Vol</t>
  </si>
  <si>
    <t>P1 Ele Vol</t>
  </si>
  <si>
    <t>P2 Ele Vol</t>
  </si>
  <si>
    <t>P1 Rud Vol</t>
  </si>
  <si>
    <t>P2 Rud Vol</t>
  </si>
  <si>
    <t>P1 Roll Gyro</t>
  </si>
  <si>
    <t>P2 Roll Gyro</t>
  </si>
  <si>
    <t>P1 Pitch Gyro</t>
  </si>
  <si>
    <t>P2 Pitch Gyro</t>
  </si>
  <si>
    <t>P1 Yaw Gyro</t>
  </si>
  <si>
    <t>P2 Yaw Gyro</t>
  </si>
  <si>
    <t>P1 Roll Acc</t>
  </si>
  <si>
    <t>P2 Roll Acc</t>
  </si>
  <si>
    <t>P1 Pitch Acc</t>
  </si>
  <si>
    <t>P2 Pitch Acc</t>
  </si>
  <si>
    <t>P1 Zacc</t>
  </si>
  <si>
    <t>P2 Zacc</t>
  </si>
  <si>
    <t>P1 Source A</t>
  </si>
  <si>
    <t>P1 Src A Vol</t>
  </si>
  <si>
    <t>P2 Source A</t>
  </si>
  <si>
    <t>P2 Src A Vol</t>
  </si>
  <si>
    <t>P1 Source B</t>
  </si>
  <si>
    <t>P1 Src B Vol</t>
  </si>
  <si>
    <t>P2 Source B</t>
  </si>
  <si>
    <t>P2 Src B Vol</t>
  </si>
  <si>
    <t>OUT2 mixer</t>
  </si>
  <si>
    <t>OUT8 mixer</t>
  </si>
  <si>
    <t>OUT7 mixer</t>
  </si>
  <si>
    <t>OUT6 mixer</t>
  </si>
  <si>
    <t>OUT5 mixer</t>
  </si>
  <si>
    <t>OUT4 mixer</t>
  </si>
  <si>
    <t>OUT3 mixer</t>
  </si>
  <si>
    <t>Servo reverse</t>
  </si>
  <si>
    <t>OUT1</t>
  </si>
  <si>
    <t>OUT2</t>
  </si>
  <si>
    <t>OUT3</t>
  </si>
  <si>
    <t>OUT4</t>
  </si>
  <si>
    <t>OUT5</t>
  </si>
  <si>
    <t>OUT6</t>
  </si>
  <si>
    <t>OUT7</t>
  </si>
  <si>
    <t>OUT8</t>
  </si>
  <si>
    <t>Min travel</t>
  </si>
  <si>
    <t>Max travel</t>
  </si>
  <si>
    <t>RC Offsets</t>
  </si>
  <si>
    <t>Acc zeros</t>
  </si>
  <si>
    <t>Gyro zeros</t>
  </si>
  <si>
    <t>Airspeed zero</t>
  </si>
  <si>
    <t>Flight mode</t>
  </si>
  <si>
    <t>Trims</t>
  </si>
  <si>
    <t>Main flags</t>
  </si>
  <si>
    <t>Misc1</t>
  </si>
  <si>
    <t>Misc2</t>
  </si>
  <si>
    <t>Error log</t>
  </si>
  <si>
    <t>Log index</t>
  </si>
  <si>
    <t>P2 Gyro zeros</t>
  </si>
  <si>
    <t>P2 Acc zeros</t>
  </si>
  <si>
    <t>P1 Orient</t>
  </si>
  <si>
    <t>Desc.</t>
  </si>
  <si>
    <t>Sub desc.</t>
  </si>
  <si>
    <t>Byte</t>
  </si>
  <si>
    <t>Non user-settable</t>
  </si>
  <si>
    <t>Raw input decimal data</t>
  </si>
  <si>
    <t>Text conversion formulas</t>
  </si>
  <si>
    <t>Text copied back from GUI</t>
  </si>
  <si>
    <t>Data conversion formulas</t>
  </si>
  <si>
    <t>Raw data values copied from above</t>
  </si>
  <si>
    <t>Text values copied from above to GUI</t>
  </si>
  <si>
    <t>Receiver settings</t>
  </si>
  <si>
    <t>Programmers</t>
  </si>
  <si>
    <t>usbasp</t>
  </si>
  <si>
    <t>Atmel AVR ISP</t>
  </si>
  <si>
    <t>Atmel AVR ISP mkII</t>
  </si>
  <si>
    <t>avrisp2</t>
  </si>
  <si>
    <t>USBasp, http://www.fischl.de/usbasp/</t>
  </si>
  <si>
    <t>avrisp</t>
  </si>
  <si>
    <t>Select programmer type</t>
  </si>
  <si>
    <t>File paths</t>
  </si>
  <si>
    <t>Debug</t>
  </si>
  <si>
    <t>AVRDude path:</t>
  </si>
  <si>
    <t>File path:</t>
  </si>
  <si>
    <t>General settings</t>
  </si>
  <si>
    <t>LCD contrast</t>
  </si>
  <si>
    <t>Arming mode</t>
  </si>
  <si>
    <t xml:space="preserve">Low-voltage alarm </t>
  </si>
  <si>
    <t>Accelerometer LPF</t>
  </si>
  <si>
    <t>Gyro LPF</t>
  </si>
  <si>
    <t>Hardware LPF (Global)</t>
  </si>
  <si>
    <t>Autolevel correction</t>
  </si>
  <si>
    <t>Mixer preset</t>
  </si>
  <si>
    <t>Arming</t>
  </si>
  <si>
    <t>LVA</t>
  </si>
  <si>
    <t>3.2V</t>
  </si>
  <si>
    <t>3.3V</t>
  </si>
  <si>
    <t>3.4V</t>
  </si>
  <si>
    <t>3.5V</t>
  </si>
  <si>
    <t>3.6V</t>
  </si>
  <si>
    <t>3.7V</t>
  </si>
  <si>
    <t>3.8V</t>
  </si>
  <si>
    <t>3.9V</t>
  </si>
  <si>
    <t>LPF</t>
  </si>
  <si>
    <t>5Hz</t>
  </si>
  <si>
    <t>10Hz</t>
  </si>
  <si>
    <t>21Hz</t>
  </si>
  <si>
    <t>44Hz</t>
  </si>
  <si>
    <t>94Hz</t>
  </si>
  <si>
    <t>184Hz</t>
  </si>
  <si>
    <t>260Hz</t>
  </si>
  <si>
    <t>Flight profiles</t>
  </si>
  <si>
    <t>Pitch autolevel trim</t>
  </si>
  <si>
    <t>Profile</t>
  </si>
  <si>
    <t>Curves</t>
  </si>
  <si>
    <t>P1 Throttle Curve</t>
  </si>
  <si>
    <t>P2 Throttle Curve</t>
  </si>
  <si>
    <t>P1 Collective Curve</t>
  </si>
  <si>
    <t>P2 Collective Curve</t>
  </si>
  <si>
    <t>Generic Curve C</t>
  </si>
  <si>
    <t>Generic Curve D</t>
  </si>
  <si>
    <t>Input</t>
  </si>
  <si>
    <t>Output</t>
  </si>
  <si>
    <t>Input values are constant</t>
  </si>
  <si>
    <t>Output values define curve</t>
  </si>
  <si>
    <t>Input source</t>
  </si>
  <si>
    <t>None</t>
  </si>
  <si>
    <t>Roll gyro</t>
  </si>
  <si>
    <t>Pitch gyro</t>
  </si>
  <si>
    <t>Yaw gyro</t>
  </si>
  <si>
    <t>AL roll</t>
  </si>
  <si>
    <t>AL pitch</t>
  </si>
  <si>
    <t>Alt. damp</t>
  </si>
  <si>
    <t>Collective</t>
  </si>
  <si>
    <t>Throttle curve</t>
  </si>
  <si>
    <t>KK2 Settings</t>
  </si>
  <si>
    <t>Output mixers</t>
  </si>
  <si>
    <t>Function</t>
  </si>
  <si>
    <t>Output device</t>
  </si>
  <si>
    <t>Throttle curve shape</t>
  </si>
  <si>
    <t>P2 roll gyro</t>
  </si>
  <si>
    <t>P1 pitch gyro</t>
  </si>
  <si>
    <t>P2 pitch gyro</t>
  </si>
  <si>
    <t>P1 yaw gyro</t>
  </si>
  <si>
    <t>P2 yaw gyro</t>
  </si>
  <si>
    <t>P1 roll accelerometer</t>
  </si>
  <si>
    <t>P2 roll accelerometer</t>
  </si>
  <si>
    <t>P1 pitch accelerometer</t>
  </si>
  <si>
    <t>P2 pitch accelerometer</t>
  </si>
  <si>
    <t>P1 roll gyro</t>
  </si>
  <si>
    <t>P1 vertical damping</t>
  </si>
  <si>
    <t>P2 vertical damping</t>
  </si>
  <si>
    <t>P1 source A</t>
  </si>
  <si>
    <t>P2 source A</t>
  </si>
  <si>
    <t>P1 source B</t>
  </si>
  <si>
    <t>Output type</t>
  </si>
  <si>
    <t>Analog servo</t>
  </si>
  <si>
    <t>Digital servo</t>
  </si>
  <si>
    <t>Motor/ESC</t>
  </si>
  <si>
    <t>Curve</t>
  </si>
  <si>
    <t>Linear</t>
  </si>
  <si>
    <t>Sine</t>
  </si>
  <si>
    <t>`</t>
  </si>
  <si>
    <t>P1 aileron volume (-125% to 125%)</t>
  </si>
  <si>
    <t>P2 aileron volume (-125% to 125%)</t>
  </si>
  <si>
    <t>P1 elevator volume (-125% to 125%)</t>
  </si>
  <si>
    <t>P2 elevator volume (-125% to 125%)</t>
  </si>
  <si>
    <t>P1 rudder volume (-125% to 125%)</t>
  </si>
  <si>
    <t>P2 rudder volume (-125% to 125%)</t>
  </si>
  <si>
    <t>P1 source A volume (-125% to 125%)</t>
  </si>
  <si>
    <t>P2 source A volume (-125% to 125%)</t>
  </si>
  <si>
    <t>P1 source B volume (-125% to 125%)</t>
  </si>
  <si>
    <t>Output offsets</t>
  </si>
  <si>
    <t>Servo direction</t>
  </si>
  <si>
    <t>Servo travel</t>
  </si>
  <si>
    <t>Direction</t>
  </si>
  <si>
    <t>Normal</t>
  </si>
  <si>
    <t>Reversed</t>
  </si>
  <si>
    <t>Minimum (0 to -125%)</t>
  </si>
  <si>
    <t>Maximum (0 to 125%)</t>
  </si>
  <si>
    <t>Transition</t>
  </si>
  <si>
    <t>Adjust offset values only</t>
  </si>
  <si>
    <t>Offset(%)</t>
  </si>
  <si>
    <t>To load a preset, select it here, write the settings to the KK2 and then read them back</t>
  </si>
  <si>
    <t>Transition P1 point (%)</t>
  </si>
  <si>
    <t>Transition P1.n point (%)</t>
  </si>
  <si>
    <t>Transition P2 point (%)</t>
  </si>
  <si>
    <t>Roll I limit (0 - 125%)</t>
  </si>
  <si>
    <t>Roll I gain (0 - 127)</t>
  </si>
  <si>
    <t>Roll P gain (0 - 127)</t>
  </si>
  <si>
    <t>Roll I rate (0 - 7)</t>
  </si>
  <si>
    <t>Roll autolevel P gain (0 - 127)</t>
  </si>
  <si>
    <t>Roll autolevel trim (-127 - 127)</t>
  </si>
  <si>
    <t>Pitch P gain (0 - 127)</t>
  </si>
  <si>
    <t>Pitch I gain (0 - 127)</t>
  </si>
  <si>
    <t>Pitch autolevel P gain (0 - 127)</t>
  </si>
  <si>
    <t>Yaw P gain (0 - 127)</t>
  </si>
  <si>
    <t>Yaw I gain (0 - 127)</t>
  </si>
  <si>
    <t>Z-axis P gain (0 - 127)</t>
  </si>
  <si>
    <t>Z-axis I gain (0 - 127)</t>
  </si>
  <si>
    <t>Z-axis I limit (0 - 125%)</t>
  </si>
  <si>
    <t>Pitch I rate (0 - 7)</t>
  </si>
  <si>
    <t>Yaw I rate (0 - 7)</t>
  </si>
  <si>
    <t>Yaw trim (-127 - 127)</t>
  </si>
  <si>
    <t>Pitch I limit  (0 - 125%)</t>
  </si>
  <si>
    <t>Yaw I limit (0 - 125%)</t>
  </si>
  <si>
    <t xml:space="preserve">OpenAeroVTOL - GUI  </t>
  </si>
  <si>
    <t>Auto disarm timer (0 - 127s)</t>
  </si>
  <si>
    <t>Scaled</t>
  </si>
  <si>
    <t>Transfer settings between KK2 and GUI</t>
  </si>
  <si>
    <t>Update/Change the firmware on the KK2</t>
  </si>
  <si>
    <t>Transfer settings files between GUI and PC</t>
  </si>
  <si>
    <t>Usage</t>
  </si>
  <si>
    <t>2. Ensure KK2 is powered.</t>
  </si>
  <si>
    <t>1. Connect your programmer between KK2 and PC.</t>
  </si>
  <si>
    <t>3. Check that the correct programmer type is selected from the drop-down.</t>
  </si>
  <si>
    <t>Firmware</t>
  </si>
  <si>
    <t>Top-Rear</t>
  </si>
  <si>
    <t>Top-Left</t>
  </si>
  <si>
    <t>Top-Front</t>
  </si>
  <si>
    <t>Top-Right</t>
  </si>
  <si>
    <t>Back-Down</t>
  </si>
  <si>
    <t>Back-Left</t>
  </si>
  <si>
    <t>Back-Up</t>
  </si>
  <si>
    <t>Back-Right</t>
  </si>
  <si>
    <t>Bott.-Back</t>
  </si>
  <si>
    <t>Bott.-Right</t>
  </si>
  <si>
    <t>Bott.-Front</t>
  </si>
  <si>
    <t>Bott.-Left</t>
  </si>
  <si>
    <t>Front-Down</t>
  </si>
  <si>
    <t>Front-Right</t>
  </si>
  <si>
    <t>Front-Up</t>
  </si>
  <si>
    <t>Front-Left</t>
  </si>
  <si>
    <t>Left-Down</t>
  </si>
  <si>
    <t>Left_Front</t>
  </si>
  <si>
    <t>Left-Up</t>
  </si>
  <si>
    <t>Left-Back</t>
  </si>
  <si>
    <t>Right-Down</t>
  </si>
  <si>
    <t>Right-Back</t>
  </si>
  <si>
    <t>Right-Up</t>
  </si>
  <si>
    <t>Right-Front</t>
  </si>
  <si>
    <t>Armed</t>
  </si>
  <si>
    <t>Armable</t>
  </si>
  <si>
    <t>Blank</t>
  </si>
  <si>
    <t>Options</t>
  </si>
  <si>
    <t>Quad X</t>
  </si>
  <si>
    <t>Quad P</t>
  </si>
  <si>
    <t>Tricopter</t>
  </si>
  <si>
    <t>No</t>
  </si>
  <si>
    <t>Throttle</t>
  </si>
  <si>
    <t>Generic</t>
  </si>
  <si>
    <t>C</t>
  </si>
  <si>
    <t>D</t>
  </si>
  <si>
    <t>P1 throttle volume</t>
  </si>
  <si>
    <t>P2 throttle volume</t>
  </si>
  <si>
    <t>P1 aileron volume</t>
  </si>
  <si>
    <t>P2 aileron volume</t>
  </si>
  <si>
    <t>P1 elevator volume</t>
  </si>
  <si>
    <t>P2 elevator volume</t>
  </si>
  <si>
    <t>P1 rudder volume</t>
  </si>
  <si>
    <t>P2 rudder volume</t>
  </si>
  <si>
    <t>P1 source A volume</t>
  </si>
  <si>
    <t>P2 source A volume</t>
  </si>
  <si>
    <t>P1 source B volume</t>
  </si>
  <si>
    <t>P1.17</t>
  </si>
  <si>
    <t>P1.33</t>
  </si>
  <si>
    <t>P1.67</t>
  </si>
  <si>
    <t>P1.83</t>
  </si>
  <si>
    <t>P1.5</t>
  </si>
  <si>
    <t>Output Direction</t>
  </si>
  <si>
    <t>Servo Travel Limits</t>
  </si>
  <si>
    <t>Outbound transition speed</t>
  </si>
  <si>
    <t>Inbound transition Speed</t>
  </si>
  <si>
    <t>Expand sections by clicking on the "+" marks down the left</t>
  </si>
  <si>
    <t>RxMode</t>
  </si>
  <si>
    <t>Servo_rate</t>
  </si>
  <si>
    <t>P2 source B</t>
  </si>
  <si>
    <t>P2 source B volume (-125% to 125%)</t>
  </si>
  <si>
    <t>Buzzer</t>
  </si>
  <si>
    <t>V1.4B8 End</t>
  </si>
  <si>
    <t>Notes</t>
  </si>
  <si>
    <t>Curve C</t>
  </si>
  <si>
    <t>Curve D</t>
  </si>
  <si>
    <t>Tail Sitter</t>
  </si>
  <si>
    <t>Earth Ref.</t>
  </si>
  <si>
    <t>Vertical Airplane Ref.</t>
  </si>
  <si>
    <t>Safety</t>
  </si>
  <si>
    <t>MPU6050 LPF</t>
  </si>
  <si>
    <t>Mode B/UDI</t>
  </si>
  <si>
    <t>Spektrum</t>
  </si>
  <si>
    <t>S-Bus</t>
  </si>
  <si>
    <t>Xtreme</t>
  </si>
  <si>
    <t>PWM rate</t>
  </si>
  <si>
    <t>Sync RC</t>
  </si>
  <si>
    <t>High</t>
  </si>
  <si>
    <t>Low</t>
  </si>
  <si>
    <t>JR/Spektrum</t>
  </si>
  <si>
    <t>Multiplex</t>
  </si>
  <si>
    <t>Futaba</t>
  </si>
  <si>
    <t>Custom</t>
  </si>
  <si>
    <t>RC channel order</t>
  </si>
  <si>
    <t>Transition low</t>
  </si>
  <si>
    <t>Transition mid</t>
  </si>
  <si>
    <t>Transition high</t>
  </si>
  <si>
    <t>AccVert filter</t>
  </si>
  <si>
    <t>Auto disarm timer (0 to 127s)</t>
  </si>
  <si>
    <t>Outbound transition speed (0 to 40s)</t>
  </si>
  <si>
    <t>Inbound transition Speed (0 to 40s)</t>
  </si>
  <si>
    <t>Roll P gain (0 to 127)</t>
  </si>
  <si>
    <t>Roll I gain (0 to 127)</t>
  </si>
  <si>
    <t>Roll I limit (0 to 125%)</t>
  </si>
  <si>
    <t>Roll I rate (0 to 7)</t>
  </si>
  <si>
    <t>Roll autolevel trim (-127 to 127)</t>
  </si>
  <si>
    <t>Pitch P gain (0 to 127)</t>
  </si>
  <si>
    <t>Pitch I gain (0 to 127)</t>
  </si>
  <si>
    <t>Pitch I limit  (0 to 125%)</t>
  </si>
  <si>
    <t>Pitch I rate (0 to 7)</t>
  </si>
  <si>
    <t>Yaw P gain (0 to 127)</t>
  </si>
  <si>
    <t>Yaw I gain (0 to 127)</t>
  </si>
  <si>
    <t>Yaw I limit (0 to 125%)</t>
  </si>
  <si>
    <t>Yaw I rate (0 to 7)</t>
  </si>
  <si>
    <t>Yaw trim (-127 to 127)</t>
  </si>
  <si>
    <t>Z-axis P gain (0 to 127)</t>
  </si>
  <si>
    <t>Z-axis I gain (0 to 127)</t>
  </si>
  <si>
    <t>Z-axis I limit (0 to 125%)</t>
  </si>
  <si>
    <t>P1 throttle volume (0 to 125%)</t>
  </si>
  <si>
    <t>P2 throttle volume (0 to 125%)</t>
  </si>
  <si>
    <t>Roll autolevel (0 to 127)</t>
  </si>
  <si>
    <t>Pitch autolevel (0 to 127)</t>
  </si>
  <si>
    <t>Transition curve</t>
  </si>
  <si>
    <t>Square root sine</t>
  </si>
  <si>
    <t>P1 roll autolevel</t>
  </si>
  <si>
    <t>P2 roll autolevel</t>
  </si>
  <si>
    <t>P1 pitch autolevel</t>
  </si>
  <si>
    <t>P2 pitch autolevel</t>
  </si>
  <si>
    <t>P1 Altitude damping</t>
  </si>
  <si>
    <t>P2 Altitude damping</t>
  </si>
  <si>
    <t>Acc Y</t>
  </si>
  <si>
    <t>Acc X</t>
  </si>
  <si>
    <t>COM1</t>
  </si>
  <si>
    <t>COM2</t>
  </si>
  <si>
    <t>COM3</t>
  </si>
  <si>
    <t>COM4</t>
  </si>
  <si>
    <t>COM5</t>
  </si>
  <si>
    <t>COM6</t>
  </si>
  <si>
    <t>COM7</t>
  </si>
  <si>
    <t>COM8</t>
  </si>
  <si>
    <t>COM9</t>
  </si>
  <si>
    <t>COM10</t>
  </si>
  <si>
    <t>COM11</t>
  </si>
  <si>
    <t>COM12</t>
  </si>
  <si>
    <t>COM13</t>
  </si>
  <si>
    <t>COM14</t>
  </si>
  <si>
    <t>COM15</t>
  </si>
  <si>
    <t>COM16</t>
  </si>
  <si>
    <t>HoTT SUMD</t>
  </si>
  <si>
    <t>Port</t>
  </si>
  <si>
    <t>usb</t>
  </si>
  <si>
    <t>5. Use the "Set path the AVRdude" button to set the path correctly.</t>
  </si>
  <si>
    <t>6. Click the button labelled "Load from KK2" to load settings to the GUI.</t>
  </si>
  <si>
    <t>7. Click the button labelled "Save to KK2" to save modified settings to the KK2.</t>
  </si>
  <si>
    <t>4. Select the port that your programmer is connected to from the "Port" drop-down.</t>
  </si>
  <si>
    <t>C:\Users\thompson\Desktop\Personal\OAV_GUI\AVRDude_6_3\avrdude.exe</t>
  </si>
  <si>
    <t>©David Thompson 2017  V0.23</t>
  </si>
  <si>
    <t>© David Thompson 2017   V0.23</t>
  </si>
  <si>
    <t>https://d.docs.live.net/f79c5810e0243ad1/Arduino/teensyOAV/doc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</si>
</sst>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36"/>
      <color theme="1"/>
      <name val="Calibri"/>
      <family val="2"/>
      <scheme val="minor"/>
    </font>
    <font>
      <sz val="14"/>
      <color theme="0" tint="-4.9989318521683403E-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24"/>
      <color theme="0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sz val="2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48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66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4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F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52B57"/>
        <bgColor indexed="64"/>
      </patternFill>
    </fill>
    <fill>
      <patternFill patternType="solid">
        <fgColor theme="0" tint="-0.34998626667073579"/>
        <bgColor indexed="64"/>
      </patternFill>
    </fill>
  </fills>
  <borders count="5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87">
    <xf numFmtId="0" fontId="0" fillId="0" borderId="0" xfId="0"/>
    <xf numFmtId="0" fontId="0" fillId="36" borderId="0" xfId="0" applyFill="1" applyProtection="1">
      <protection locked="0"/>
    </xf>
    <xf numFmtId="0" fontId="0" fillId="33" borderId="0" xfId="0" applyFill="1" applyProtection="1">
      <protection locked="0"/>
    </xf>
    <xf numFmtId="0" fontId="0" fillId="0" borderId="0" xfId="0" applyBorder="1"/>
    <xf numFmtId="0" fontId="0" fillId="33" borderId="16" xfId="0" applyFill="1" applyBorder="1"/>
    <xf numFmtId="0" fontId="0" fillId="33" borderId="17" xfId="0" applyFill="1" applyBorder="1"/>
    <xf numFmtId="0" fontId="0" fillId="33" borderId="10" xfId="0" applyFill="1" applyBorder="1"/>
    <xf numFmtId="0" fontId="0" fillId="33" borderId="21" xfId="0" applyFill="1" applyBorder="1"/>
    <xf numFmtId="0" fontId="0" fillId="33" borderId="19" xfId="0" applyFill="1" applyBorder="1"/>
    <xf numFmtId="0" fontId="0" fillId="33" borderId="20" xfId="0" applyFill="1" applyBorder="1"/>
    <xf numFmtId="0" fontId="0" fillId="37" borderId="10" xfId="0" applyFill="1" applyBorder="1"/>
    <xf numFmtId="0" fontId="0" fillId="37" borderId="11" xfId="0" applyFill="1" applyBorder="1"/>
    <xf numFmtId="0" fontId="0" fillId="37" borderId="16" xfId="0" applyFill="1" applyBorder="1"/>
    <xf numFmtId="0" fontId="0" fillId="37" borderId="17" xfId="0" applyFill="1" applyBorder="1"/>
    <xf numFmtId="0" fontId="0" fillId="37" borderId="21" xfId="0" applyFill="1" applyBorder="1"/>
    <xf numFmtId="0" fontId="0" fillId="37" borderId="18" xfId="0" applyFill="1" applyBorder="1"/>
    <xf numFmtId="0" fontId="0" fillId="0" borderId="0" xfId="0" applyAlignment="1">
      <alignment horizontal="center"/>
    </xf>
    <xf numFmtId="0" fontId="0" fillId="37" borderId="14" xfId="0" applyFill="1" applyBorder="1"/>
    <xf numFmtId="0" fontId="0" fillId="37" borderId="22" xfId="0" applyFill="1" applyBorder="1"/>
    <xf numFmtId="0" fontId="0" fillId="34" borderId="0" xfId="0" applyFill="1"/>
    <xf numFmtId="0" fontId="0" fillId="0" borderId="0" xfId="0" applyAlignment="1">
      <alignment horizontal="left"/>
    </xf>
    <xf numFmtId="0" fontId="0" fillId="34" borderId="0" xfId="0" applyFill="1" applyBorder="1"/>
    <xf numFmtId="0" fontId="20" fillId="34" borderId="0" xfId="0" applyFont="1" applyFill="1" applyBorder="1" applyAlignment="1" applyProtection="1">
      <alignment horizontal="left"/>
    </xf>
    <xf numFmtId="0" fontId="0" fillId="0" borderId="0" xfId="0" applyBorder="1" applyAlignment="1">
      <alignment horizontal="center"/>
    </xf>
    <xf numFmtId="0" fontId="0" fillId="36" borderId="0" xfId="0" applyFill="1"/>
    <xf numFmtId="0" fontId="0" fillId="0" borderId="0" xfId="0" applyFill="1" applyBorder="1" applyAlignment="1">
      <alignment horizontal="center"/>
    </xf>
    <xf numFmtId="1" fontId="0" fillId="37" borderId="14" xfId="0" applyNumberFormat="1" applyFill="1" applyBorder="1"/>
    <xf numFmtId="0" fontId="0" fillId="37" borderId="38" xfId="0" applyFill="1" applyBorder="1"/>
    <xf numFmtId="0" fontId="0" fillId="37" borderId="39" xfId="0" applyFill="1" applyBorder="1"/>
    <xf numFmtId="0" fontId="0" fillId="37" borderId="40" xfId="0" applyFill="1" applyBorder="1"/>
    <xf numFmtId="0" fontId="0" fillId="37" borderId="41" xfId="0" applyFill="1" applyBorder="1"/>
    <xf numFmtId="0" fontId="0" fillId="33" borderId="38" xfId="0" applyFill="1" applyBorder="1"/>
    <xf numFmtId="0" fontId="0" fillId="33" borderId="40" xfId="0" applyFill="1" applyBorder="1"/>
    <xf numFmtId="0" fontId="0" fillId="33" borderId="42" xfId="0" applyFill="1" applyBorder="1"/>
    <xf numFmtId="1" fontId="0" fillId="41" borderId="10" xfId="0" applyNumberFormat="1" applyFill="1" applyBorder="1" applyAlignment="1" applyProtection="1">
      <alignment horizontal="left" vertical="center"/>
      <protection locked="0"/>
    </xf>
    <xf numFmtId="0" fontId="0" fillId="38" borderId="10" xfId="0" applyFill="1" applyBorder="1" applyProtection="1"/>
    <xf numFmtId="1" fontId="0" fillId="41" borderId="10" xfId="0" applyNumberFormat="1" applyFill="1" applyBorder="1" applyAlignment="1" applyProtection="1">
      <alignment horizontal="center"/>
      <protection locked="0"/>
    </xf>
    <xf numFmtId="0" fontId="0" fillId="34" borderId="0" xfId="0" applyFill="1" applyProtection="1"/>
    <xf numFmtId="0" fontId="0" fillId="34" borderId="0" xfId="0" applyFill="1" applyBorder="1" applyProtection="1"/>
    <xf numFmtId="0" fontId="22" fillId="38" borderId="10" xfId="0" applyFont="1" applyFill="1" applyBorder="1" applyProtection="1"/>
    <xf numFmtId="0" fontId="22" fillId="38" borderId="10" xfId="0" applyFont="1" applyFill="1" applyBorder="1" applyAlignment="1" applyProtection="1">
      <alignment horizontal="center"/>
    </xf>
    <xf numFmtId="0" fontId="0" fillId="38" borderId="10" xfId="0" applyFill="1" applyBorder="1" applyAlignment="1" applyProtection="1">
      <alignment horizontal="center"/>
    </xf>
    <xf numFmtId="1" fontId="25" fillId="38" borderId="10" xfId="0" applyNumberFormat="1" applyFont="1" applyFill="1" applyBorder="1" applyAlignment="1" applyProtection="1">
      <alignment horizontal="center"/>
    </xf>
    <xf numFmtId="1" fontId="25" fillId="34" borderId="0" xfId="0" applyNumberFormat="1" applyFont="1" applyFill="1" applyBorder="1" applyAlignment="1" applyProtection="1">
      <alignment horizontal="center"/>
    </xf>
    <xf numFmtId="0" fontId="0" fillId="41" borderId="10" xfId="0" applyFill="1" applyBorder="1" applyProtection="1">
      <protection locked="0"/>
    </xf>
    <xf numFmtId="0" fontId="22" fillId="40" borderId="10" xfId="0" applyFont="1" applyFill="1" applyBorder="1" applyProtection="1"/>
    <xf numFmtId="0" fontId="22" fillId="40" borderId="10" xfId="0" applyFont="1" applyFill="1" applyBorder="1" applyAlignment="1" applyProtection="1">
      <alignment horizontal="center"/>
    </xf>
    <xf numFmtId="1" fontId="0" fillId="42" borderId="10" xfId="0" applyNumberFormat="1" applyFill="1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/>
    </xf>
    <xf numFmtId="1" fontId="0" fillId="34" borderId="0" xfId="0" applyNumberFormat="1" applyFill="1" applyBorder="1" applyAlignment="1" applyProtection="1">
      <alignment horizontal="center"/>
    </xf>
    <xf numFmtId="0" fontId="0" fillId="39" borderId="0" xfId="0" applyFill="1" applyBorder="1" applyAlignment="1" applyProtection="1">
      <alignment horizontal="center"/>
    </xf>
    <xf numFmtId="0" fontId="0" fillId="39" borderId="0" xfId="0" applyFill="1" applyBorder="1" applyProtection="1"/>
    <xf numFmtId="0" fontId="0" fillId="36" borderId="27" xfId="0" applyFill="1" applyBorder="1" applyAlignment="1" applyProtection="1">
      <alignment vertical="center"/>
    </xf>
    <xf numFmtId="0" fontId="0" fillId="36" borderId="28" xfId="0" applyFill="1" applyBorder="1" applyAlignment="1" applyProtection="1">
      <alignment vertical="center"/>
    </xf>
    <xf numFmtId="0" fontId="26" fillId="36" borderId="30" xfId="0" applyFont="1" applyFill="1" applyBorder="1" applyProtection="1"/>
    <xf numFmtId="0" fontId="0" fillId="36" borderId="31" xfId="0" applyFill="1" applyBorder="1" applyProtection="1"/>
    <xf numFmtId="0" fontId="0" fillId="36" borderId="32" xfId="0" applyFill="1" applyBorder="1" applyProtection="1"/>
    <xf numFmtId="0" fontId="0" fillId="36" borderId="33" xfId="0" applyFill="1" applyBorder="1" applyProtection="1"/>
    <xf numFmtId="0" fontId="0" fillId="36" borderId="0" xfId="0" applyFill="1" applyBorder="1" applyProtection="1"/>
    <xf numFmtId="0" fontId="0" fillId="36" borderId="34" xfId="0" applyFill="1" applyBorder="1" applyProtection="1"/>
    <xf numFmtId="0" fontId="0" fillId="36" borderId="35" xfId="0" applyFill="1" applyBorder="1" applyProtection="1"/>
    <xf numFmtId="0" fontId="0" fillId="36" borderId="36" xfId="0" applyFill="1" applyBorder="1" applyProtection="1"/>
    <xf numFmtId="0" fontId="0" fillId="36" borderId="37" xfId="0" applyFill="1" applyBorder="1" applyProtection="1"/>
    <xf numFmtId="0" fontId="0" fillId="33" borderId="14" xfId="0" applyFill="1" applyBorder="1"/>
    <xf numFmtId="0" fontId="0" fillId="37" borderId="19" xfId="0" applyFill="1" applyBorder="1"/>
    <xf numFmtId="0" fontId="0" fillId="0" borderId="33" xfId="0" applyBorder="1" applyProtection="1">
      <protection locked="0"/>
    </xf>
    <xf numFmtId="0" fontId="0" fillId="0" borderId="0" xfId="0" applyBorder="1" applyProtection="1">
      <protection locked="0"/>
    </xf>
    <xf numFmtId="0" fontId="0" fillId="0" borderId="34" xfId="0" applyBorder="1" applyProtection="1">
      <protection locked="0"/>
    </xf>
    <xf numFmtId="0" fontId="0" fillId="0" borderId="35" xfId="0" applyBorder="1" applyProtection="1">
      <protection locked="0"/>
    </xf>
    <xf numFmtId="0" fontId="0" fillId="0" borderId="36" xfId="0" applyBorder="1" applyProtection="1">
      <protection locked="0"/>
    </xf>
    <xf numFmtId="0" fontId="0" fillId="0" borderId="37" xfId="0" applyBorder="1" applyProtection="1">
      <protection locked="0"/>
    </xf>
    <xf numFmtId="0" fontId="16" fillId="36" borderId="12" xfId="0" applyFont="1" applyFill="1" applyBorder="1" applyAlignment="1" applyProtection="1">
      <alignment horizontal="left" vertical="top"/>
    </xf>
    <xf numFmtId="0" fontId="0" fillId="36" borderId="23" xfId="0" applyFill="1" applyBorder="1" applyAlignment="1" applyProtection="1">
      <alignment horizontal="left" vertical="top"/>
    </xf>
    <xf numFmtId="0" fontId="16" fillId="36" borderId="15" xfId="0" applyFont="1" applyFill="1" applyBorder="1" applyAlignment="1" applyProtection="1">
      <alignment horizontal="left" vertical="top"/>
    </xf>
    <xf numFmtId="0" fontId="0" fillId="36" borderId="0" xfId="0" applyFill="1" applyBorder="1" applyAlignment="1" applyProtection="1">
      <alignment horizontal="left" vertical="top"/>
    </xf>
    <xf numFmtId="0" fontId="0" fillId="36" borderId="13" xfId="0" applyFill="1" applyBorder="1" applyAlignment="1" applyProtection="1">
      <alignment horizontal="left" vertical="top"/>
    </xf>
    <xf numFmtId="0" fontId="0" fillId="36" borderId="25" xfId="0" applyFill="1" applyBorder="1" applyAlignment="1" applyProtection="1">
      <alignment horizontal="left" vertical="top"/>
    </xf>
    <xf numFmtId="0" fontId="34" fillId="41" borderId="38" xfId="0" applyFont="1" applyFill="1" applyBorder="1" applyProtection="1"/>
    <xf numFmtId="0" fontId="0" fillId="41" borderId="48" xfId="0" applyFill="1" applyBorder="1" applyProtection="1"/>
    <xf numFmtId="0" fontId="0" fillId="0" borderId="0" xfId="0" applyProtection="1"/>
    <xf numFmtId="0" fontId="0" fillId="41" borderId="49" xfId="0" applyFill="1" applyBorder="1" applyProtection="1"/>
    <xf numFmtId="0" fontId="33" fillId="0" borderId="22" xfId="0" applyFont="1" applyBorder="1" applyAlignment="1" applyProtection="1">
      <alignment horizontal="center"/>
    </xf>
    <xf numFmtId="0" fontId="33" fillId="0" borderId="21" xfId="0" applyFont="1" applyBorder="1" applyAlignment="1" applyProtection="1">
      <alignment horizontal="center"/>
    </xf>
    <xf numFmtId="0" fontId="0" fillId="41" borderId="50" xfId="0" applyFill="1" applyBorder="1" applyProtection="1"/>
    <xf numFmtId="0" fontId="33" fillId="0" borderId="20" xfId="0" applyFont="1" applyBorder="1" applyAlignment="1" applyProtection="1">
      <alignment horizontal="center"/>
    </xf>
    <xf numFmtId="0" fontId="34" fillId="41" borderId="56" xfId="0" applyFont="1" applyFill="1" applyBorder="1" applyProtection="1"/>
    <xf numFmtId="0" fontId="16" fillId="41" borderId="16" xfId="0" applyFont="1" applyFill="1" applyBorder="1" applyAlignment="1" applyProtection="1">
      <alignment horizontal="center"/>
    </xf>
    <xf numFmtId="0" fontId="16" fillId="41" borderId="17" xfId="0" applyFont="1" applyFill="1" applyBorder="1" applyAlignment="1" applyProtection="1">
      <alignment horizontal="center"/>
    </xf>
    <xf numFmtId="0" fontId="0" fillId="41" borderId="49" xfId="0" applyFont="1" applyFill="1" applyBorder="1" applyProtection="1"/>
    <xf numFmtId="0" fontId="33" fillId="0" borderId="14" xfId="0" applyFont="1" applyBorder="1" applyAlignment="1" applyProtection="1">
      <alignment horizontal="center"/>
    </xf>
    <xf numFmtId="0" fontId="33" fillId="0" borderId="10" xfId="0" applyFont="1" applyBorder="1" applyAlignment="1" applyProtection="1">
      <alignment horizontal="center"/>
    </xf>
    <xf numFmtId="0" fontId="0" fillId="41" borderId="50" xfId="0" applyFont="1" applyFill="1" applyBorder="1" applyProtection="1"/>
    <xf numFmtId="0" fontId="33" fillId="0" borderId="19" xfId="0" applyFont="1" applyBorder="1" applyAlignment="1" applyProtection="1">
      <alignment horizontal="center"/>
    </xf>
    <xf numFmtId="0" fontId="34" fillId="41" borderId="51" xfId="0" applyFont="1" applyFill="1" applyBorder="1" applyProtection="1"/>
    <xf numFmtId="0" fontId="16" fillId="41" borderId="52" xfId="0" applyFont="1" applyFill="1" applyBorder="1" applyAlignment="1" applyProtection="1">
      <alignment horizontal="center"/>
    </xf>
    <xf numFmtId="0" fontId="16" fillId="41" borderId="53" xfId="0" applyFont="1" applyFill="1" applyBorder="1" applyAlignment="1" applyProtection="1">
      <alignment horizontal="center"/>
    </xf>
    <xf numFmtId="0" fontId="16" fillId="41" borderId="54" xfId="0" applyFont="1" applyFill="1" applyBorder="1" applyProtection="1"/>
    <xf numFmtId="0" fontId="16" fillId="41" borderId="43" xfId="0" applyFont="1" applyFill="1" applyBorder="1" applyAlignment="1" applyProtection="1">
      <alignment horizontal="center"/>
    </xf>
    <xf numFmtId="0" fontId="16" fillId="41" borderId="55" xfId="0" applyFont="1" applyFill="1" applyBorder="1" applyAlignment="1" applyProtection="1">
      <alignment horizontal="center"/>
    </xf>
    <xf numFmtId="0" fontId="0" fillId="41" borderId="49" xfId="0" applyFont="1" applyFill="1" applyBorder="1" applyAlignment="1" applyProtection="1">
      <alignment horizontal="left"/>
    </xf>
    <xf numFmtId="0" fontId="0" fillId="45" borderId="10" xfId="0" applyFill="1" applyBorder="1" applyAlignment="1" applyProtection="1">
      <alignment horizontal="center"/>
    </xf>
    <xf numFmtId="0" fontId="0" fillId="41" borderId="50" xfId="0" applyFont="1" applyFill="1" applyBorder="1" applyAlignment="1" applyProtection="1">
      <alignment horizontal="left"/>
    </xf>
    <xf numFmtId="0" fontId="16" fillId="41" borderId="47" xfId="0" applyFont="1" applyFill="1" applyBorder="1" applyProtection="1"/>
    <xf numFmtId="0" fontId="16" fillId="41" borderId="48" xfId="0" applyFont="1" applyFill="1" applyBorder="1" applyProtection="1"/>
    <xf numFmtId="0" fontId="16" fillId="41" borderId="49" xfId="0" applyFont="1" applyFill="1" applyBorder="1" applyProtection="1"/>
    <xf numFmtId="0" fontId="16" fillId="41" borderId="10" xfId="0" applyFont="1" applyFill="1" applyBorder="1" applyAlignment="1" applyProtection="1">
      <alignment horizontal="center"/>
    </xf>
    <xf numFmtId="0" fontId="16" fillId="41" borderId="21" xfId="0" applyFont="1" applyFill="1" applyBorder="1" applyAlignment="1" applyProtection="1">
      <alignment horizontal="center"/>
    </xf>
    <xf numFmtId="0" fontId="0" fillId="41" borderId="47" xfId="0" applyFill="1" applyBorder="1" applyProtection="1"/>
    <xf numFmtId="0" fontId="0" fillId="45" borderId="49" xfId="0" applyFill="1" applyBorder="1" applyProtection="1"/>
    <xf numFmtId="0" fontId="16" fillId="41" borderId="14" xfId="0" applyFont="1" applyFill="1" applyBorder="1" applyAlignment="1" applyProtection="1">
      <alignment horizontal="center"/>
    </xf>
    <xf numFmtId="0" fontId="16" fillId="41" borderId="22" xfId="0" applyFont="1" applyFill="1" applyBorder="1" applyAlignment="1" applyProtection="1">
      <alignment horizontal="center"/>
    </xf>
    <xf numFmtId="0" fontId="16" fillId="45" borderId="49" xfId="0" applyFont="1" applyFill="1" applyBorder="1" applyProtection="1"/>
    <xf numFmtId="0" fontId="34" fillId="41" borderId="44" xfId="0" applyFont="1" applyFill="1" applyBorder="1" applyProtection="1"/>
    <xf numFmtId="0" fontId="33" fillId="0" borderId="45" xfId="0" applyFont="1" applyBorder="1" applyAlignment="1" applyProtection="1">
      <alignment horizontal="center"/>
    </xf>
    <xf numFmtId="0" fontId="33" fillId="0" borderId="46" xfId="0" applyFont="1" applyBorder="1" applyAlignment="1" applyProtection="1">
      <alignment horizontal="center"/>
    </xf>
    <xf numFmtId="0" fontId="0" fillId="36" borderId="0" xfId="0" applyFill="1" applyProtection="1"/>
    <xf numFmtId="0" fontId="0" fillId="36" borderId="0" xfId="0" applyFill="1" applyAlignment="1" applyProtection="1">
      <alignment horizontal="left"/>
    </xf>
    <xf numFmtId="0" fontId="0" fillId="35" borderId="0" xfId="0" applyFill="1" applyProtection="1"/>
    <xf numFmtId="0" fontId="24" fillId="35" borderId="0" xfId="0" applyFont="1" applyFill="1" applyProtection="1"/>
    <xf numFmtId="0" fontId="0" fillId="35" borderId="0" xfId="0" applyFill="1" applyAlignment="1" applyProtection="1">
      <alignment horizontal="left"/>
    </xf>
    <xf numFmtId="0" fontId="17" fillId="35" borderId="0" xfId="0" applyFont="1" applyFill="1" applyProtection="1"/>
    <xf numFmtId="0" fontId="0" fillId="34" borderId="0" xfId="0" applyFill="1" applyAlignment="1" applyProtection="1">
      <alignment horizontal="left"/>
    </xf>
    <xf numFmtId="0" fontId="19" fillId="34" borderId="0" xfId="0" applyFont="1" applyFill="1" applyAlignment="1" applyProtection="1">
      <alignment horizontal="left"/>
    </xf>
    <xf numFmtId="0" fontId="17" fillId="34" borderId="0" xfId="0" applyFont="1" applyFill="1" applyAlignment="1" applyProtection="1">
      <alignment horizontal="left"/>
    </xf>
    <xf numFmtId="0" fontId="17" fillId="35" borderId="0" xfId="0" applyFont="1" applyFill="1" applyAlignment="1" applyProtection="1">
      <alignment horizontal="left"/>
    </xf>
    <xf numFmtId="0" fontId="18" fillId="34" borderId="0" xfId="0" applyFont="1" applyFill="1" applyProtection="1"/>
    <xf numFmtId="0" fontId="0" fillId="34" borderId="0" xfId="0" applyFill="1" applyBorder="1" applyAlignment="1" applyProtection="1">
      <alignment horizontal="left"/>
    </xf>
    <xf numFmtId="0" fontId="29" fillId="34" borderId="0" xfId="0" applyFont="1" applyFill="1" applyProtection="1"/>
    <xf numFmtId="0" fontId="0" fillId="34" borderId="0" xfId="0" applyFill="1" applyBorder="1" applyAlignment="1" applyProtection="1">
      <alignment horizontal="center"/>
    </xf>
    <xf numFmtId="0" fontId="23" fillId="34" borderId="0" xfId="0" applyFont="1" applyFill="1" applyProtection="1"/>
    <xf numFmtId="0" fontId="28" fillId="34" borderId="0" xfId="0" applyFont="1" applyFill="1" applyProtection="1"/>
    <xf numFmtId="0" fontId="27" fillId="34" borderId="0" xfId="0" applyFont="1" applyFill="1" applyAlignment="1" applyProtection="1">
      <alignment horizontal="right"/>
    </xf>
    <xf numFmtId="0" fontId="0" fillId="33" borderId="0" xfId="0" applyFill="1" applyProtection="1"/>
    <xf numFmtId="0" fontId="0" fillId="33" borderId="0" xfId="0" applyFill="1" applyAlignment="1" applyProtection="1">
      <alignment horizontal="left"/>
    </xf>
    <xf numFmtId="0" fontId="0" fillId="36" borderId="0" xfId="0" applyFill="1" applyBorder="1" applyAlignment="1" applyProtection="1">
      <alignment horizontal="left" vertical="top" wrapText="1"/>
    </xf>
    <xf numFmtId="0" fontId="0" fillId="36" borderId="29" xfId="0" applyFill="1" applyBorder="1" applyAlignment="1" applyProtection="1">
      <alignment horizontal="left" vertical="top" wrapText="1"/>
    </xf>
    <xf numFmtId="0" fontId="0" fillId="36" borderId="25" xfId="0" applyFill="1" applyBorder="1" applyAlignment="1" applyProtection="1">
      <alignment horizontal="left" vertical="top" wrapText="1"/>
    </xf>
    <xf numFmtId="0" fontId="0" fillId="36" borderId="26" xfId="0" applyFill="1" applyBorder="1" applyAlignment="1" applyProtection="1">
      <alignment horizontal="left" vertical="top" wrapText="1"/>
    </xf>
    <xf numFmtId="0" fontId="0" fillId="43" borderId="30" xfId="0" applyFill="1" applyBorder="1" applyProtection="1"/>
    <xf numFmtId="0" fontId="0" fillId="43" borderId="31" xfId="0" applyFill="1" applyBorder="1" applyProtection="1"/>
    <xf numFmtId="0" fontId="30" fillId="43" borderId="31" xfId="0" applyFont="1" applyFill="1" applyBorder="1" applyAlignment="1" applyProtection="1">
      <alignment horizontal="center"/>
    </xf>
    <xf numFmtId="0" fontId="31" fillId="43" borderId="31" xfId="0" applyFont="1" applyFill="1" applyBorder="1" applyAlignment="1" applyProtection="1">
      <alignment horizontal="center"/>
    </xf>
    <xf numFmtId="0" fontId="0" fillId="43" borderId="32" xfId="0" applyFill="1" applyBorder="1" applyProtection="1"/>
    <xf numFmtId="0" fontId="30" fillId="34" borderId="0" xfId="0" applyFont="1" applyFill="1" applyProtection="1"/>
    <xf numFmtId="0" fontId="0" fillId="43" borderId="33" xfId="0" applyFill="1" applyBorder="1" applyProtection="1"/>
    <xf numFmtId="0" fontId="0" fillId="43" borderId="0" xfId="0" applyFill="1" applyBorder="1" applyProtection="1"/>
    <xf numFmtId="0" fontId="0" fillId="43" borderId="34" xfId="0" applyFill="1" applyBorder="1" applyProtection="1"/>
    <xf numFmtId="0" fontId="27" fillId="43" borderId="0" xfId="0" applyFont="1" applyFill="1" applyBorder="1" applyAlignment="1" applyProtection="1">
      <alignment horizontal="center"/>
    </xf>
    <xf numFmtId="0" fontId="32" fillId="39" borderId="30" xfId="0" applyFont="1" applyFill="1" applyBorder="1" applyAlignment="1" applyProtection="1">
      <alignment horizontal="center"/>
    </xf>
    <xf numFmtId="0" fontId="27" fillId="39" borderId="31" xfId="0" applyFont="1" applyFill="1" applyBorder="1" applyAlignment="1" applyProtection="1">
      <alignment horizontal="center"/>
    </xf>
    <xf numFmtId="0" fontId="0" fillId="39" borderId="32" xfId="0" applyFill="1" applyBorder="1" applyProtection="1"/>
    <xf numFmtId="0" fontId="0" fillId="39" borderId="30" xfId="0" applyFill="1" applyBorder="1" applyProtection="1"/>
    <xf numFmtId="0" fontId="0" fillId="44" borderId="30" xfId="0" applyFill="1" applyBorder="1" applyProtection="1"/>
    <xf numFmtId="0" fontId="27" fillId="44" borderId="31" xfId="0" applyFont="1" applyFill="1" applyBorder="1" applyAlignment="1" applyProtection="1">
      <alignment horizontal="center"/>
    </xf>
    <xf numFmtId="0" fontId="0" fillId="44" borderId="32" xfId="0" applyFill="1" applyBorder="1" applyProtection="1"/>
    <xf numFmtId="0" fontId="0" fillId="39" borderId="33" xfId="0" applyFill="1" applyBorder="1" applyProtection="1"/>
    <xf numFmtId="0" fontId="0" fillId="39" borderId="34" xfId="0" applyFill="1" applyBorder="1" applyProtection="1"/>
    <xf numFmtId="0" fontId="0" fillId="44" borderId="33" xfId="0" applyFill="1" applyBorder="1" applyProtection="1"/>
    <xf numFmtId="0" fontId="0" fillId="44" borderId="0" xfId="0" applyFill="1" applyBorder="1" applyProtection="1"/>
    <xf numFmtId="0" fontId="0" fillId="44" borderId="34" xfId="0" applyFill="1" applyBorder="1" applyProtection="1"/>
    <xf numFmtId="0" fontId="21" fillId="39" borderId="33" xfId="0" applyFont="1" applyFill="1" applyBorder="1" applyProtection="1"/>
    <xf numFmtId="0" fontId="0" fillId="39" borderId="35" xfId="0" applyFill="1" applyBorder="1" applyProtection="1"/>
    <xf numFmtId="0" fontId="0" fillId="39" borderId="36" xfId="0" applyFill="1" applyBorder="1" applyProtection="1"/>
    <xf numFmtId="0" fontId="0" fillId="39" borderId="37" xfId="0" applyFill="1" applyBorder="1" applyProtection="1"/>
    <xf numFmtId="0" fontId="21" fillId="39" borderId="35" xfId="0" applyFont="1" applyFill="1" applyBorder="1" applyProtection="1"/>
    <xf numFmtId="0" fontId="0" fillId="44" borderId="35" xfId="0" applyFill="1" applyBorder="1" applyProtection="1"/>
    <xf numFmtId="0" fontId="0" fillId="44" borderId="36" xfId="0" applyFill="1" applyBorder="1" applyProtection="1"/>
    <xf numFmtId="0" fontId="0" fillId="44" borderId="37" xfId="0" applyFill="1" applyBorder="1" applyProtection="1"/>
    <xf numFmtId="0" fontId="26" fillId="43" borderId="0" xfId="0" applyFont="1" applyFill="1" applyBorder="1" applyProtection="1"/>
    <xf numFmtId="0" fontId="21" fillId="43" borderId="0" xfId="0" applyFont="1" applyFill="1" applyBorder="1" applyProtection="1"/>
    <xf numFmtId="0" fontId="0" fillId="43" borderId="35" xfId="0" applyFill="1" applyBorder="1" applyProtection="1"/>
    <xf numFmtId="0" fontId="0" fillId="43" borderId="36" xfId="0" applyFill="1" applyBorder="1" applyProtection="1"/>
    <xf numFmtId="0" fontId="0" fillId="43" borderId="37" xfId="0" applyFill="1" applyBorder="1" applyProtection="1"/>
    <xf numFmtId="0" fontId="0" fillId="36" borderId="15" xfId="0" applyFill="1" applyBorder="1" applyAlignment="1" applyProtection="1">
      <alignment horizontal="left" vertical="top" wrapText="1"/>
    </xf>
    <xf numFmtId="0" fontId="0" fillId="36" borderId="0" xfId="0" applyFill="1" applyBorder="1" applyAlignment="1" applyProtection="1">
      <alignment horizontal="left" vertical="top" wrapText="1"/>
    </xf>
    <xf numFmtId="0" fontId="0" fillId="36" borderId="29" xfId="0" applyFill="1" applyBorder="1" applyAlignment="1" applyProtection="1">
      <alignment horizontal="left" vertical="top" wrapText="1"/>
    </xf>
    <xf numFmtId="0" fontId="0" fillId="36" borderId="13" xfId="0" applyFill="1" applyBorder="1" applyAlignment="1" applyProtection="1">
      <alignment horizontal="left" vertical="top" wrapText="1"/>
    </xf>
    <xf numFmtId="0" fontId="0" fillId="36" borderId="25" xfId="0" applyFill="1" applyBorder="1" applyAlignment="1" applyProtection="1">
      <alignment horizontal="left" vertical="top" wrapText="1"/>
    </xf>
    <xf numFmtId="0" fontId="0" fillId="36" borderId="26" xfId="0" applyFill="1" applyBorder="1" applyAlignment="1" applyProtection="1">
      <alignment horizontal="left" vertical="top" wrapText="1"/>
    </xf>
    <xf numFmtId="0" fontId="0" fillId="36" borderId="23" xfId="0" applyFill="1" applyBorder="1" applyAlignment="1" applyProtection="1">
      <alignment horizontal="left" vertical="top" wrapText="1"/>
    </xf>
    <xf numFmtId="0" fontId="0" fillId="36" borderId="24" xfId="0" applyFill="1" applyBorder="1" applyAlignment="1" applyProtection="1">
      <alignment horizontal="left" vertical="top" wrapText="1"/>
    </xf>
    <xf numFmtId="0" fontId="27" fillId="43" borderId="0" xfId="0" applyFont="1" applyFill="1" applyBorder="1" applyAlignment="1" applyProtection="1">
      <alignment horizontal="center" vertical="center" wrapText="1"/>
    </xf>
    <xf numFmtId="0" fontId="0" fillId="36" borderId="12" xfId="0" applyFill="1" applyBorder="1" applyAlignment="1" applyProtection="1">
      <alignment horizontal="left" vertical="top" wrapText="1"/>
    </xf>
    <xf numFmtId="0" fontId="0" fillId="0" borderId="0" xfId="0" applyFill="1" applyBorder="1" applyAlignment="1">
      <alignment horizontal="center"/>
    </xf>
    <xf numFmtId="0" fontId="34" fillId="0" borderId="30" xfId="0" applyFont="1" applyFill="1" applyBorder="1" applyAlignment="1" applyProtection="1">
      <alignment horizontal="center"/>
    </xf>
    <xf numFmtId="0" fontId="34" fillId="0" borderId="31" xfId="0" applyFont="1" applyFill="1" applyBorder="1" applyAlignment="1" applyProtection="1">
      <alignment horizontal="center"/>
    </xf>
    <xf numFmtId="0" fontId="34" fillId="0" borderId="32" xfId="0" applyFont="1" applyFill="1" applyBorder="1" applyAlignment="1" applyProtection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FFFFCC"/>
      <color rgb="FF000066"/>
      <color rgb="FFE52B57"/>
      <color rgb="FFFFFFF5"/>
      <color rgb="FFFFFAF5"/>
      <color rgb="FFFFFAF0"/>
      <color rgb="FFFFF5F0"/>
      <color rgb="FFFFFFF0"/>
      <color rgb="FFFFFFEB"/>
      <color rgb="FFFFFF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chemeClr val="tx1"/>
              </a:solidFill>
            </a:ln>
          </c:spPr>
          <c:marker>
            <c:symbol val="square"/>
            <c:size val="7"/>
            <c:spPr>
              <a:solidFill>
                <a:schemeClr val="tx1"/>
              </a:solidFill>
            </c:spPr>
          </c:marker>
          <c:val>
            <c:numRef>
              <c:f>GUI!$G$69:$G$75</c:f>
              <c:numCache>
                <c:formatCode>0</c:formatCode>
                <c:ptCount val="7"/>
                <c:pt idx="0">
                  <c:v>0</c:v>
                </c:pt>
                <c:pt idx="1">
                  <c:v>17</c:v>
                </c:pt>
                <c:pt idx="2">
                  <c:v>33</c:v>
                </c:pt>
                <c:pt idx="3">
                  <c:v>50</c:v>
                </c:pt>
                <c:pt idx="4">
                  <c:v>67</c:v>
                </c:pt>
                <c:pt idx="5">
                  <c:v>83</c:v>
                </c:pt>
                <c:pt idx="6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D1-4ED8-BDE8-C5EC0D470A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8486400"/>
        <c:axId val="358488320"/>
      </c:lineChart>
      <c:catAx>
        <c:axId val="358486400"/>
        <c:scaling>
          <c:orientation val="minMax"/>
        </c:scaling>
        <c:delete val="0"/>
        <c:axPos val="b"/>
        <c:numFmt formatCode="0" sourceLinked="1"/>
        <c:majorTickMark val="cross"/>
        <c:minorTickMark val="none"/>
        <c:tickLblPos val="none"/>
        <c:crossAx val="358488320"/>
        <c:crosses val="autoZero"/>
        <c:auto val="1"/>
        <c:lblAlgn val="ctr"/>
        <c:lblOffset val="100"/>
        <c:tickLblSkip val="1"/>
        <c:noMultiLvlLbl val="0"/>
      </c:catAx>
      <c:valAx>
        <c:axId val="358488320"/>
        <c:scaling>
          <c:orientation val="minMax"/>
          <c:max val="100"/>
          <c:min val="0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358486400"/>
        <c:crosses val="autoZero"/>
        <c:crossBetween val="midCat"/>
        <c:majorUnit val="50"/>
        <c:minorUnit val="5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chemeClr val="tx1"/>
              </a:solidFill>
            </a:ln>
          </c:spPr>
          <c:marker>
            <c:symbol val="square"/>
            <c:size val="7"/>
            <c:spPr>
              <a:solidFill>
                <a:schemeClr val="tx1"/>
              </a:solidFill>
            </c:spPr>
          </c:marker>
          <c:val>
            <c:numRef>
              <c:f>GUI!$G$79:$G$85</c:f>
              <c:numCache>
                <c:formatCode>0</c:formatCode>
                <c:ptCount val="7"/>
                <c:pt idx="0">
                  <c:v>0</c:v>
                </c:pt>
                <c:pt idx="1">
                  <c:v>17</c:v>
                </c:pt>
                <c:pt idx="2">
                  <c:v>33</c:v>
                </c:pt>
                <c:pt idx="3">
                  <c:v>50</c:v>
                </c:pt>
                <c:pt idx="4">
                  <c:v>67</c:v>
                </c:pt>
                <c:pt idx="5">
                  <c:v>83</c:v>
                </c:pt>
                <c:pt idx="6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97-4EE4-8D52-B0CA125306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8524416"/>
        <c:axId val="358526336"/>
      </c:lineChart>
      <c:catAx>
        <c:axId val="358524416"/>
        <c:scaling>
          <c:orientation val="minMax"/>
        </c:scaling>
        <c:delete val="0"/>
        <c:axPos val="b"/>
        <c:numFmt formatCode="0" sourceLinked="1"/>
        <c:majorTickMark val="cross"/>
        <c:minorTickMark val="none"/>
        <c:tickLblPos val="none"/>
        <c:crossAx val="358526336"/>
        <c:crosses val="autoZero"/>
        <c:auto val="1"/>
        <c:lblAlgn val="ctr"/>
        <c:lblOffset val="100"/>
        <c:noMultiLvlLbl val="0"/>
      </c:catAx>
      <c:valAx>
        <c:axId val="358526336"/>
        <c:scaling>
          <c:orientation val="minMax"/>
          <c:max val="100"/>
          <c:min val="0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358524416"/>
        <c:crosses val="autoZero"/>
        <c:crossBetween val="midCat"/>
        <c:majorUnit val="50"/>
        <c:minorUnit val="5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chemeClr val="tx1"/>
              </a:solidFill>
            </a:ln>
          </c:spPr>
          <c:marker>
            <c:symbol val="square"/>
            <c:size val="7"/>
            <c:spPr>
              <a:solidFill>
                <a:schemeClr val="tx1"/>
              </a:solidFill>
            </c:spPr>
          </c:marker>
          <c:val>
            <c:numRef>
              <c:f>GUI!$G$90:$G$96</c:f>
              <c:numCache>
                <c:formatCode>0</c:formatCode>
                <c:ptCount val="7"/>
                <c:pt idx="0">
                  <c:v>-100</c:v>
                </c:pt>
                <c:pt idx="1">
                  <c:v>-67</c:v>
                </c:pt>
                <c:pt idx="2">
                  <c:v>-33</c:v>
                </c:pt>
                <c:pt idx="3">
                  <c:v>0</c:v>
                </c:pt>
                <c:pt idx="4">
                  <c:v>33</c:v>
                </c:pt>
                <c:pt idx="5">
                  <c:v>67</c:v>
                </c:pt>
                <c:pt idx="6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9B-4B61-9F10-85C6BFBEB6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8533760"/>
        <c:axId val="79958784"/>
      </c:lineChart>
      <c:catAx>
        <c:axId val="358533760"/>
        <c:scaling>
          <c:orientation val="minMax"/>
        </c:scaling>
        <c:delete val="0"/>
        <c:axPos val="b"/>
        <c:numFmt formatCode="0" sourceLinked="1"/>
        <c:majorTickMark val="cross"/>
        <c:minorTickMark val="none"/>
        <c:tickLblPos val="none"/>
        <c:crossAx val="79958784"/>
        <c:crosses val="autoZero"/>
        <c:auto val="1"/>
        <c:lblAlgn val="ctr"/>
        <c:lblOffset val="100"/>
        <c:noMultiLvlLbl val="0"/>
      </c:catAx>
      <c:valAx>
        <c:axId val="79958784"/>
        <c:scaling>
          <c:orientation val="minMax"/>
          <c:max val="100"/>
          <c:min val="-100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358533760"/>
        <c:crosses val="autoZero"/>
        <c:crossBetween val="midCat"/>
        <c:majorUnit val="100"/>
        <c:minorUnit val="1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chemeClr val="tx1"/>
              </a:solidFill>
            </a:ln>
          </c:spPr>
          <c:marker>
            <c:symbol val="square"/>
            <c:size val="7"/>
            <c:spPr>
              <a:solidFill>
                <a:schemeClr val="tx1"/>
              </a:solidFill>
            </c:spPr>
          </c:marker>
          <c:val>
            <c:numRef>
              <c:f>GUI!$G$101:$G$107</c:f>
              <c:numCache>
                <c:formatCode>0</c:formatCode>
                <c:ptCount val="7"/>
                <c:pt idx="0">
                  <c:v>-100</c:v>
                </c:pt>
                <c:pt idx="1">
                  <c:v>-67</c:v>
                </c:pt>
                <c:pt idx="2">
                  <c:v>-33</c:v>
                </c:pt>
                <c:pt idx="3">
                  <c:v>0</c:v>
                </c:pt>
                <c:pt idx="4">
                  <c:v>33</c:v>
                </c:pt>
                <c:pt idx="5">
                  <c:v>67</c:v>
                </c:pt>
                <c:pt idx="6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6B-4CBE-AE62-A8449BD4AB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8379520"/>
        <c:axId val="358381440"/>
      </c:lineChart>
      <c:catAx>
        <c:axId val="358379520"/>
        <c:scaling>
          <c:orientation val="minMax"/>
        </c:scaling>
        <c:delete val="0"/>
        <c:axPos val="b"/>
        <c:numFmt formatCode="0" sourceLinked="1"/>
        <c:majorTickMark val="cross"/>
        <c:minorTickMark val="none"/>
        <c:tickLblPos val="none"/>
        <c:crossAx val="358381440"/>
        <c:crosses val="autoZero"/>
        <c:auto val="1"/>
        <c:lblAlgn val="ctr"/>
        <c:lblOffset val="100"/>
        <c:noMultiLvlLbl val="0"/>
      </c:catAx>
      <c:valAx>
        <c:axId val="358381440"/>
        <c:scaling>
          <c:orientation val="minMax"/>
          <c:max val="100"/>
          <c:min val="-100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358379520"/>
        <c:crosses val="autoZero"/>
        <c:crossBetween val="midCat"/>
        <c:majorUnit val="100"/>
        <c:minorUnit val="1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chemeClr val="tx1"/>
              </a:solidFill>
            </a:ln>
          </c:spPr>
          <c:marker>
            <c:symbol val="square"/>
            <c:size val="7"/>
            <c:spPr>
              <a:solidFill>
                <a:schemeClr val="tx1"/>
              </a:solidFill>
            </c:spPr>
          </c:marker>
          <c:val>
            <c:numRef>
              <c:f>GUI!$G$113:$G$119</c:f>
              <c:numCache>
                <c:formatCode>0</c:formatCode>
                <c:ptCount val="7"/>
                <c:pt idx="0">
                  <c:v>-100</c:v>
                </c:pt>
                <c:pt idx="1">
                  <c:v>-67</c:v>
                </c:pt>
                <c:pt idx="2">
                  <c:v>-33</c:v>
                </c:pt>
                <c:pt idx="3">
                  <c:v>0</c:v>
                </c:pt>
                <c:pt idx="4">
                  <c:v>33</c:v>
                </c:pt>
                <c:pt idx="5">
                  <c:v>67</c:v>
                </c:pt>
                <c:pt idx="6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D3-4CA4-8D5C-B6A706B248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8447744"/>
        <c:axId val="358449920"/>
      </c:lineChart>
      <c:catAx>
        <c:axId val="358447744"/>
        <c:scaling>
          <c:orientation val="minMax"/>
        </c:scaling>
        <c:delete val="0"/>
        <c:axPos val="b"/>
        <c:numFmt formatCode="0" sourceLinked="1"/>
        <c:majorTickMark val="cross"/>
        <c:minorTickMark val="none"/>
        <c:tickLblPos val="none"/>
        <c:crossAx val="358449920"/>
        <c:crosses val="autoZero"/>
        <c:auto val="1"/>
        <c:lblAlgn val="ctr"/>
        <c:lblOffset val="100"/>
        <c:noMultiLvlLbl val="0"/>
      </c:catAx>
      <c:valAx>
        <c:axId val="358449920"/>
        <c:scaling>
          <c:orientation val="minMax"/>
          <c:max val="100"/>
          <c:min val="-100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358447744"/>
        <c:crosses val="autoZero"/>
        <c:crossBetween val="midCat"/>
        <c:majorUnit val="100"/>
        <c:minorUnit val="1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chemeClr val="tx1"/>
              </a:solidFill>
            </a:ln>
          </c:spPr>
          <c:marker>
            <c:symbol val="square"/>
            <c:size val="7"/>
            <c:spPr>
              <a:solidFill>
                <a:schemeClr val="tx1"/>
              </a:solidFill>
            </c:spPr>
          </c:marker>
          <c:val>
            <c:numRef>
              <c:f>GUI!$G$123:$G$129</c:f>
              <c:numCache>
                <c:formatCode>0</c:formatCode>
                <c:ptCount val="7"/>
                <c:pt idx="0">
                  <c:v>-100</c:v>
                </c:pt>
                <c:pt idx="1">
                  <c:v>-67</c:v>
                </c:pt>
                <c:pt idx="2">
                  <c:v>-33</c:v>
                </c:pt>
                <c:pt idx="3">
                  <c:v>0</c:v>
                </c:pt>
                <c:pt idx="4">
                  <c:v>33</c:v>
                </c:pt>
                <c:pt idx="5">
                  <c:v>67</c:v>
                </c:pt>
                <c:pt idx="6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4A-4168-B819-786A647D7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097664"/>
        <c:axId val="80099584"/>
      </c:lineChart>
      <c:catAx>
        <c:axId val="80097664"/>
        <c:scaling>
          <c:orientation val="minMax"/>
        </c:scaling>
        <c:delete val="0"/>
        <c:axPos val="b"/>
        <c:numFmt formatCode="0" sourceLinked="1"/>
        <c:majorTickMark val="cross"/>
        <c:minorTickMark val="none"/>
        <c:tickLblPos val="none"/>
        <c:crossAx val="80099584"/>
        <c:crosses val="autoZero"/>
        <c:auto val="1"/>
        <c:lblAlgn val="ctr"/>
        <c:lblOffset val="100"/>
        <c:noMultiLvlLbl val="0"/>
      </c:catAx>
      <c:valAx>
        <c:axId val="80099584"/>
        <c:scaling>
          <c:orientation val="minMax"/>
          <c:max val="100"/>
          <c:min val="-100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80097664"/>
        <c:crosses val="autoZero"/>
        <c:crossBetween val="midCat"/>
        <c:majorUnit val="100"/>
        <c:minorUnit val="1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chemeClr val="tx1"/>
              </a:solidFill>
            </a:ln>
          </c:spPr>
          <c:marker>
            <c:symbol val="square"/>
            <c:size val="7"/>
            <c:spPr>
              <a:solidFill>
                <a:schemeClr val="tx1"/>
              </a:solidFill>
            </c:spPr>
          </c:marker>
          <c:cat>
            <c:strRef>
              <c:f>GUI!$F$171:$F$177</c:f>
              <c:strCache>
                <c:ptCount val="7"/>
                <c:pt idx="0">
                  <c:v>P1</c:v>
                </c:pt>
                <c:pt idx="3">
                  <c:v>P1.n</c:v>
                </c:pt>
                <c:pt idx="6">
                  <c:v>P2</c:v>
                </c:pt>
              </c:strCache>
            </c:strRef>
          </c:cat>
          <c:val>
            <c:numRef>
              <c:f>GUI!$H$171:$H$177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F15-40A2-B1A4-55D8E3DEFB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119296"/>
        <c:axId val="80121216"/>
      </c:lineChart>
      <c:catAx>
        <c:axId val="80119296"/>
        <c:scaling>
          <c:orientation val="minMax"/>
        </c:scaling>
        <c:delete val="0"/>
        <c:axPos val="b"/>
        <c:numFmt formatCode="General" sourceLinked="0"/>
        <c:majorTickMark val="cross"/>
        <c:minorTickMark val="none"/>
        <c:tickLblPos val="nextTo"/>
        <c:crossAx val="80121216"/>
        <c:crossesAt val="-125"/>
        <c:auto val="1"/>
        <c:lblAlgn val="ctr"/>
        <c:lblOffset val="100"/>
        <c:noMultiLvlLbl val="0"/>
      </c:catAx>
      <c:valAx>
        <c:axId val="80121216"/>
        <c:scaling>
          <c:orientation val="minMax"/>
          <c:max val="125"/>
          <c:min val="-125"/>
        </c:scaling>
        <c:delete val="0"/>
        <c:axPos val="l"/>
        <c:majorGridlines/>
        <c:numFmt formatCode="0" sourceLinked="1"/>
        <c:majorTickMark val="cross"/>
        <c:minorTickMark val="none"/>
        <c:tickLblPos val="low"/>
        <c:crossAx val="80119296"/>
        <c:crosses val="autoZero"/>
        <c:crossBetween val="midCat"/>
        <c:majorUnit val="125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chemeClr val="tx1"/>
              </a:solidFill>
            </a:ln>
          </c:spPr>
          <c:marker>
            <c:symbol val="square"/>
            <c:size val="7"/>
            <c:spPr>
              <a:solidFill>
                <a:schemeClr val="tx1"/>
              </a:solidFill>
            </c:spPr>
          </c:marker>
          <c:cat>
            <c:strRef>
              <c:f>GUI!$F$182:$F$188</c:f>
              <c:strCache>
                <c:ptCount val="7"/>
                <c:pt idx="0">
                  <c:v>P1</c:v>
                </c:pt>
                <c:pt idx="3">
                  <c:v>P1.n</c:v>
                </c:pt>
                <c:pt idx="6">
                  <c:v>P2</c:v>
                </c:pt>
              </c:strCache>
            </c:strRef>
          </c:cat>
          <c:val>
            <c:numRef>
              <c:f>GUI!$H$182:$H$188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31-4628-80DD-4EA399099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136448"/>
        <c:axId val="80490880"/>
      </c:lineChart>
      <c:catAx>
        <c:axId val="80136448"/>
        <c:scaling>
          <c:orientation val="minMax"/>
        </c:scaling>
        <c:delete val="0"/>
        <c:axPos val="b"/>
        <c:numFmt formatCode="General" sourceLinked="0"/>
        <c:majorTickMark val="cross"/>
        <c:minorTickMark val="none"/>
        <c:tickLblPos val="nextTo"/>
        <c:crossAx val="80490880"/>
        <c:crossesAt val="-125"/>
        <c:auto val="1"/>
        <c:lblAlgn val="ctr"/>
        <c:lblOffset val="100"/>
        <c:noMultiLvlLbl val="0"/>
      </c:catAx>
      <c:valAx>
        <c:axId val="80490880"/>
        <c:scaling>
          <c:orientation val="minMax"/>
          <c:max val="125"/>
          <c:min val="-125"/>
        </c:scaling>
        <c:delete val="0"/>
        <c:axPos val="l"/>
        <c:majorGridlines/>
        <c:numFmt formatCode="0" sourceLinked="1"/>
        <c:majorTickMark val="cross"/>
        <c:minorTickMark val="none"/>
        <c:tickLblPos val="low"/>
        <c:crossAx val="80136448"/>
        <c:crosses val="autoZero"/>
        <c:crossBetween val="midCat"/>
        <c:majorUnit val="125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chemeClr val="tx1"/>
              </a:solidFill>
            </a:ln>
          </c:spPr>
          <c:marker>
            <c:symbol val="square"/>
            <c:size val="7"/>
            <c:spPr>
              <a:solidFill>
                <a:schemeClr val="tx1"/>
              </a:solidFill>
            </c:spPr>
          </c:marker>
          <c:cat>
            <c:strRef>
              <c:f>GUI!$F$193:$F$199</c:f>
              <c:strCache>
                <c:ptCount val="7"/>
                <c:pt idx="0">
                  <c:v>P1</c:v>
                </c:pt>
                <c:pt idx="3">
                  <c:v>P1.n</c:v>
                </c:pt>
                <c:pt idx="6">
                  <c:v>P2</c:v>
                </c:pt>
              </c:strCache>
            </c:strRef>
          </c:cat>
          <c:val>
            <c:numRef>
              <c:f>GUI!$H$193:$H$199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79-4046-AB15-A9650C1C36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496896"/>
        <c:axId val="80523264"/>
      </c:lineChart>
      <c:catAx>
        <c:axId val="80496896"/>
        <c:scaling>
          <c:orientation val="minMax"/>
        </c:scaling>
        <c:delete val="0"/>
        <c:axPos val="b"/>
        <c:numFmt formatCode="General" sourceLinked="0"/>
        <c:majorTickMark val="cross"/>
        <c:minorTickMark val="none"/>
        <c:tickLblPos val="nextTo"/>
        <c:crossAx val="80523264"/>
        <c:crossesAt val="-125"/>
        <c:auto val="1"/>
        <c:lblAlgn val="ctr"/>
        <c:lblOffset val="100"/>
        <c:noMultiLvlLbl val="0"/>
      </c:catAx>
      <c:valAx>
        <c:axId val="80523264"/>
        <c:scaling>
          <c:orientation val="minMax"/>
          <c:max val="125"/>
          <c:min val="-125"/>
        </c:scaling>
        <c:delete val="0"/>
        <c:axPos val="l"/>
        <c:majorGridlines/>
        <c:numFmt formatCode="0" sourceLinked="1"/>
        <c:majorTickMark val="cross"/>
        <c:minorTickMark val="none"/>
        <c:tickLblPos val="low"/>
        <c:crossAx val="80496896"/>
        <c:crosses val="autoZero"/>
        <c:crossBetween val="midCat"/>
        <c:majorUnit val="125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chemeClr val="tx1"/>
              </a:solidFill>
            </a:ln>
          </c:spPr>
          <c:marker>
            <c:symbol val="square"/>
            <c:size val="7"/>
            <c:spPr>
              <a:solidFill>
                <a:schemeClr val="tx1"/>
              </a:solidFill>
            </c:spPr>
          </c:marker>
          <c:cat>
            <c:strRef>
              <c:f>GUI!$F$204:$F$210</c:f>
              <c:strCache>
                <c:ptCount val="7"/>
                <c:pt idx="0">
                  <c:v>P1</c:v>
                </c:pt>
                <c:pt idx="3">
                  <c:v>P1.n</c:v>
                </c:pt>
                <c:pt idx="6">
                  <c:v>P2</c:v>
                </c:pt>
              </c:strCache>
            </c:strRef>
          </c:cat>
          <c:val>
            <c:numRef>
              <c:f>GUI!$H$204:$H$210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B4-472B-998A-72FDB3FE63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530048"/>
        <c:axId val="80159488"/>
      </c:lineChart>
      <c:catAx>
        <c:axId val="80530048"/>
        <c:scaling>
          <c:orientation val="minMax"/>
        </c:scaling>
        <c:delete val="0"/>
        <c:axPos val="b"/>
        <c:numFmt formatCode="General" sourceLinked="0"/>
        <c:majorTickMark val="cross"/>
        <c:minorTickMark val="none"/>
        <c:tickLblPos val="nextTo"/>
        <c:crossAx val="80159488"/>
        <c:crossesAt val="-125"/>
        <c:auto val="1"/>
        <c:lblAlgn val="ctr"/>
        <c:lblOffset val="100"/>
        <c:noMultiLvlLbl val="0"/>
      </c:catAx>
      <c:valAx>
        <c:axId val="80159488"/>
        <c:scaling>
          <c:orientation val="minMax"/>
          <c:max val="125"/>
          <c:min val="-125"/>
        </c:scaling>
        <c:delete val="0"/>
        <c:axPos val="l"/>
        <c:majorGridlines/>
        <c:numFmt formatCode="0" sourceLinked="1"/>
        <c:majorTickMark val="cross"/>
        <c:minorTickMark val="none"/>
        <c:tickLblPos val="low"/>
        <c:crossAx val="80530048"/>
        <c:crosses val="autoZero"/>
        <c:crossBetween val="midCat"/>
        <c:majorUnit val="125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chemeClr val="tx1"/>
              </a:solidFill>
            </a:ln>
          </c:spPr>
          <c:marker>
            <c:symbol val="square"/>
            <c:size val="7"/>
            <c:spPr>
              <a:solidFill>
                <a:schemeClr val="tx1"/>
              </a:solidFill>
            </c:spPr>
          </c:marker>
          <c:cat>
            <c:strRef>
              <c:f>GUI!$F$214:$F$220</c:f>
              <c:strCache>
                <c:ptCount val="7"/>
                <c:pt idx="0">
                  <c:v>P1</c:v>
                </c:pt>
                <c:pt idx="3">
                  <c:v>P1.n</c:v>
                </c:pt>
                <c:pt idx="6">
                  <c:v>P2</c:v>
                </c:pt>
              </c:strCache>
            </c:strRef>
          </c:cat>
          <c:val>
            <c:numRef>
              <c:f>GUI!$H$214:$H$220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E1-466F-A13A-BCC6637AEA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179200"/>
        <c:axId val="80181120"/>
      </c:lineChart>
      <c:catAx>
        <c:axId val="80179200"/>
        <c:scaling>
          <c:orientation val="minMax"/>
        </c:scaling>
        <c:delete val="0"/>
        <c:axPos val="b"/>
        <c:numFmt formatCode="General" sourceLinked="0"/>
        <c:majorTickMark val="cross"/>
        <c:minorTickMark val="none"/>
        <c:tickLblPos val="nextTo"/>
        <c:crossAx val="80181120"/>
        <c:crossesAt val="-125"/>
        <c:auto val="1"/>
        <c:lblAlgn val="ctr"/>
        <c:lblOffset val="100"/>
        <c:noMultiLvlLbl val="0"/>
      </c:catAx>
      <c:valAx>
        <c:axId val="80181120"/>
        <c:scaling>
          <c:orientation val="minMax"/>
          <c:max val="125"/>
          <c:min val="-125"/>
        </c:scaling>
        <c:delete val="0"/>
        <c:axPos val="l"/>
        <c:majorGridlines/>
        <c:numFmt formatCode="0" sourceLinked="1"/>
        <c:majorTickMark val="cross"/>
        <c:minorTickMark val="none"/>
        <c:tickLblPos val="low"/>
        <c:crossAx val="80179200"/>
        <c:crosses val="autoZero"/>
        <c:crossBetween val="midCat"/>
        <c:majorUnit val="125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chemeClr val="tx1"/>
              </a:solidFill>
            </a:ln>
          </c:spPr>
          <c:marker>
            <c:symbol val="square"/>
            <c:size val="7"/>
            <c:spPr>
              <a:solidFill>
                <a:schemeClr val="tx1"/>
              </a:solidFill>
            </c:spPr>
          </c:marker>
          <c:cat>
            <c:strRef>
              <c:f>GUI!$F$225:$F$231</c:f>
              <c:strCache>
                <c:ptCount val="7"/>
                <c:pt idx="0">
                  <c:v>P1</c:v>
                </c:pt>
                <c:pt idx="3">
                  <c:v>P1.n</c:v>
                </c:pt>
                <c:pt idx="6">
                  <c:v>P2</c:v>
                </c:pt>
              </c:strCache>
            </c:strRef>
          </c:cat>
          <c:val>
            <c:numRef>
              <c:f>GUI!$H$225:$H$231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AD-4D5B-A9B4-FE7C70B40B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213120"/>
        <c:axId val="80215040"/>
      </c:lineChart>
      <c:catAx>
        <c:axId val="80213120"/>
        <c:scaling>
          <c:orientation val="minMax"/>
        </c:scaling>
        <c:delete val="0"/>
        <c:axPos val="b"/>
        <c:numFmt formatCode="General" sourceLinked="0"/>
        <c:majorTickMark val="cross"/>
        <c:minorTickMark val="none"/>
        <c:tickLblPos val="nextTo"/>
        <c:crossAx val="80215040"/>
        <c:crossesAt val="-125"/>
        <c:auto val="1"/>
        <c:lblAlgn val="ctr"/>
        <c:lblOffset val="100"/>
        <c:noMultiLvlLbl val="0"/>
      </c:catAx>
      <c:valAx>
        <c:axId val="80215040"/>
        <c:scaling>
          <c:orientation val="minMax"/>
          <c:max val="125"/>
          <c:min val="-125"/>
        </c:scaling>
        <c:delete val="0"/>
        <c:axPos val="l"/>
        <c:majorGridlines/>
        <c:numFmt formatCode="0" sourceLinked="1"/>
        <c:majorTickMark val="cross"/>
        <c:minorTickMark val="none"/>
        <c:tickLblPos val="low"/>
        <c:crossAx val="80213120"/>
        <c:crosses val="autoZero"/>
        <c:crossBetween val="midCat"/>
        <c:majorUnit val="125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chemeClr val="tx1"/>
              </a:solidFill>
            </a:ln>
          </c:spPr>
          <c:marker>
            <c:symbol val="square"/>
            <c:size val="7"/>
            <c:spPr>
              <a:solidFill>
                <a:schemeClr val="tx1"/>
              </a:solidFill>
            </c:spPr>
          </c:marker>
          <c:cat>
            <c:strRef>
              <c:f>GUI!$F$235:$F$241</c:f>
              <c:strCache>
                <c:ptCount val="7"/>
                <c:pt idx="0">
                  <c:v>P1</c:v>
                </c:pt>
                <c:pt idx="3">
                  <c:v>P1.n</c:v>
                </c:pt>
                <c:pt idx="6">
                  <c:v>P2</c:v>
                </c:pt>
              </c:strCache>
            </c:strRef>
          </c:cat>
          <c:val>
            <c:numRef>
              <c:f>GUI!$H$235:$H$241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2E-4B29-8661-1C0ABF3713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222464"/>
        <c:axId val="80228736"/>
      </c:lineChart>
      <c:catAx>
        <c:axId val="80222464"/>
        <c:scaling>
          <c:orientation val="minMax"/>
        </c:scaling>
        <c:delete val="0"/>
        <c:axPos val="b"/>
        <c:numFmt formatCode="General" sourceLinked="0"/>
        <c:majorTickMark val="cross"/>
        <c:minorTickMark val="none"/>
        <c:tickLblPos val="nextTo"/>
        <c:crossAx val="80228736"/>
        <c:crossesAt val="-125"/>
        <c:auto val="1"/>
        <c:lblAlgn val="ctr"/>
        <c:lblOffset val="100"/>
        <c:noMultiLvlLbl val="0"/>
      </c:catAx>
      <c:valAx>
        <c:axId val="80228736"/>
        <c:scaling>
          <c:orientation val="minMax"/>
          <c:max val="125"/>
          <c:min val="-125"/>
        </c:scaling>
        <c:delete val="0"/>
        <c:axPos val="l"/>
        <c:majorGridlines/>
        <c:numFmt formatCode="0" sourceLinked="1"/>
        <c:majorTickMark val="cross"/>
        <c:minorTickMark val="none"/>
        <c:tickLblPos val="low"/>
        <c:crossAx val="80222464"/>
        <c:crosses val="autoZero"/>
        <c:crossBetween val="midCat"/>
        <c:majorUnit val="125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chemeClr val="tx1"/>
              </a:solidFill>
            </a:ln>
          </c:spPr>
          <c:marker>
            <c:symbol val="square"/>
            <c:size val="7"/>
            <c:spPr>
              <a:solidFill>
                <a:schemeClr val="tx1"/>
              </a:solidFill>
            </c:spPr>
          </c:marker>
          <c:cat>
            <c:strRef>
              <c:f>GUI!$F$246:$F$252</c:f>
              <c:strCache>
                <c:ptCount val="7"/>
                <c:pt idx="0">
                  <c:v>P1</c:v>
                </c:pt>
                <c:pt idx="3">
                  <c:v>P1.n</c:v>
                </c:pt>
                <c:pt idx="6">
                  <c:v>P2</c:v>
                </c:pt>
              </c:strCache>
            </c:strRef>
          </c:cat>
          <c:val>
            <c:numRef>
              <c:f>GUI!$H$246:$H$252</c:f>
              <c:numCache>
                <c:formatCode>0</c:formatCode>
                <c:ptCount val="7"/>
                <c:pt idx="0">
                  <c:v>-100</c:v>
                </c:pt>
                <c:pt idx="1">
                  <c:v>-67</c:v>
                </c:pt>
                <c:pt idx="2">
                  <c:v>-33</c:v>
                </c:pt>
                <c:pt idx="3">
                  <c:v>0</c:v>
                </c:pt>
                <c:pt idx="4">
                  <c:v>33</c:v>
                </c:pt>
                <c:pt idx="5">
                  <c:v>67</c:v>
                </c:pt>
                <c:pt idx="6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53-43B2-B0E0-33C2B7BAF4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260480"/>
        <c:axId val="80262656"/>
      </c:lineChart>
      <c:catAx>
        <c:axId val="80260480"/>
        <c:scaling>
          <c:orientation val="minMax"/>
        </c:scaling>
        <c:delete val="0"/>
        <c:axPos val="b"/>
        <c:numFmt formatCode="General" sourceLinked="0"/>
        <c:majorTickMark val="cross"/>
        <c:minorTickMark val="none"/>
        <c:tickLblPos val="nextTo"/>
        <c:crossAx val="80262656"/>
        <c:crossesAt val="-125"/>
        <c:auto val="1"/>
        <c:lblAlgn val="ctr"/>
        <c:lblOffset val="100"/>
        <c:noMultiLvlLbl val="0"/>
      </c:catAx>
      <c:valAx>
        <c:axId val="80262656"/>
        <c:scaling>
          <c:orientation val="minMax"/>
          <c:max val="125"/>
          <c:min val="-125"/>
        </c:scaling>
        <c:delete val="0"/>
        <c:axPos val="l"/>
        <c:majorGridlines/>
        <c:numFmt formatCode="0" sourceLinked="1"/>
        <c:majorTickMark val="cross"/>
        <c:minorTickMark val="none"/>
        <c:tickLblPos val="low"/>
        <c:crossAx val="80260480"/>
        <c:crosses val="autoZero"/>
        <c:crossBetween val="midCat"/>
        <c:majorUnit val="125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106680</xdr:colOff>
          <xdr:row>18</xdr:row>
          <xdr:rowOff>68580</xdr:rowOff>
        </xdr:from>
        <xdr:to>
          <xdr:col>4</xdr:col>
          <xdr:colOff>495300</xdr:colOff>
          <xdr:row>20</xdr:row>
          <xdr:rowOff>91440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106680</xdr:colOff>
          <xdr:row>16</xdr:row>
          <xdr:rowOff>38100</xdr:rowOff>
        </xdr:from>
        <xdr:to>
          <xdr:col>4</xdr:col>
          <xdr:colOff>518160</xdr:colOff>
          <xdr:row>17</xdr:row>
          <xdr:rowOff>121920</xdr:rowOff>
        </xdr:to>
        <xdr:sp macro="" textlink="">
          <xdr:nvSpPr>
            <xdr:cNvPr id="1028" name="CommandButton1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</xdr:colOff>
          <xdr:row>27</xdr:row>
          <xdr:rowOff>0</xdr:rowOff>
        </xdr:from>
        <xdr:to>
          <xdr:col>4</xdr:col>
          <xdr:colOff>586740</xdr:colOff>
          <xdr:row>28</xdr:row>
          <xdr:rowOff>251460</xdr:rowOff>
        </xdr:to>
        <xdr:sp macro="" textlink="">
          <xdr:nvSpPr>
            <xdr:cNvPr id="1029" name="CommandButton3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175260</xdr:colOff>
          <xdr:row>18</xdr:row>
          <xdr:rowOff>22860</xdr:rowOff>
        </xdr:from>
        <xdr:to>
          <xdr:col>8</xdr:col>
          <xdr:colOff>480060</xdr:colOff>
          <xdr:row>20</xdr:row>
          <xdr:rowOff>106680</xdr:rowOff>
        </xdr:to>
        <xdr:sp macro="" textlink="">
          <xdr:nvSpPr>
            <xdr:cNvPr id="1032" name="CommandButton5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160020</xdr:colOff>
          <xdr:row>16</xdr:row>
          <xdr:rowOff>30480</xdr:rowOff>
        </xdr:from>
        <xdr:to>
          <xdr:col>8</xdr:col>
          <xdr:colOff>464820</xdr:colOff>
          <xdr:row>17</xdr:row>
          <xdr:rowOff>114300</xdr:rowOff>
        </xdr:to>
        <xdr:sp macro="" textlink="">
          <xdr:nvSpPr>
            <xdr:cNvPr id="1034" name="CommandButton6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16</xdr:row>
          <xdr:rowOff>60960</xdr:rowOff>
        </xdr:from>
        <xdr:to>
          <xdr:col>13</xdr:col>
          <xdr:colOff>419100</xdr:colOff>
          <xdr:row>17</xdr:row>
          <xdr:rowOff>121920</xdr:rowOff>
        </xdr:to>
        <xdr:sp macro="" textlink="">
          <xdr:nvSpPr>
            <xdr:cNvPr id="1035" name="CommandButton4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144780</xdr:colOff>
          <xdr:row>18</xdr:row>
          <xdr:rowOff>60960</xdr:rowOff>
        </xdr:from>
        <xdr:to>
          <xdr:col>13</xdr:col>
          <xdr:colOff>411480</xdr:colOff>
          <xdr:row>20</xdr:row>
          <xdr:rowOff>83820</xdr:rowOff>
        </xdr:to>
        <xdr:sp macro="" textlink="">
          <xdr:nvSpPr>
            <xdr:cNvPr id="1036" name="CommandButton7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</xdr:colOff>
      <xdr:row>67</xdr:row>
      <xdr:rowOff>38100</xdr:rowOff>
    </xdr:from>
    <xdr:to>
      <xdr:col>4</xdr:col>
      <xdr:colOff>114300</xdr:colOff>
      <xdr:row>74</xdr:row>
      <xdr:rowOff>161926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38100</xdr:colOff>
      <xdr:row>77</xdr:row>
      <xdr:rowOff>38100</xdr:rowOff>
    </xdr:from>
    <xdr:to>
      <xdr:col>4</xdr:col>
      <xdr:colOff>114300</xdr:colOff>
      <xdr:row>84</xdr:row>
      <xdr:rowOff>161926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57150</xdr:colOff>
      <xdr:row>88</xdr:row>
      <xdr:rowOff>19050</xdr:rowOff>
    </xdr:from>
    <xdr:to>
      <xdr:col>4</xdr:col>
      <xdr:colOff>133350</xdr:colOff>
      <xdr:row>95</xdr:row>
      <xdr:rowOff>142876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66675</xdr:colOff>
      <xdr:row>99</xdr:row>
      <xdr:rowOff>85725</xdr:rowOff>
    </xdr:from>
    <xdr:to>
      <xdr:col>4</xdr:col>
      <xdr:colOff>142875</xdr:colOff>
      <xdr:row>107</xdr:row>
      <xdr:rowOff>19051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57150</xdr:colOff>
      <xdr:row>111</xdr:row>
      <xdr:rowOff>28575</xdr:rowOff>
    </xdr:from>
    <xdr:to>
      <xdr:col>4</xdr:col>
      <xdr:colOff>133350</xdr:colOff>
      <xdr:row>118</xdr:row>
      <xdr:rowOff>152401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66675</xdr:colOff>
      <xdr:row>121</xdr:row>
      <xdr:rowOff>95250</xdr:rowOff>
    </xdr:from>
    <xdr:to>
      <xdr:col>4</xdr:col>
      <xdr:colOff>142875</xdr:colOff>
      <xdr:row>129</xdr:row>
      <xdr:rowOff>28576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47625</xdr:colOff>
      <xdr:row>169</xdr:row>
      <xdr:rowOff>85725</xdr:rowOff>
    </xdr:from>
    <xdr:to>
      <xdr:col>4</xdr:col>
      <xdr:colOff>257175</xdr:colOff>
      <xdr:row>176</xdr:row>
      <xdr:rowOff>142876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47625</xdr:colOff>
      <xdr:row>179</xdr:row>
      <xdr:rowOff>161925</xdr:rowOff>
    </xdr:from>
    <xdr:to>
      <xdr:col>4</xdr:col>
      <xdr:colOff>257175</xdr:colOff>
      <xdr:row>188</xdr:row>
      <xdr:rowOff>76201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57150</xdr:colOff>
      <xdr:row>190</xdr:row>
      <xdr:rowOff>209550</xdr:rowOff>
    </xdr:from>
    <xdr:to>
      <xdr:col>4</xdr:col>
      <xdr:colOff>266700</xdr:colOff>
      <xdr:row>199</xdr:row>
      <xdr:rowOff>123826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38100</xdr:colOff>
      <xdr:row>201</xdr:row>
      <xdr:rowOff>114300</xdr:rowOff>
    </xdr:from>
    <xdr:to>
      <xdr:col>4</xdr:col>
      <xdr:colOff>247650</xdr:colOff>
      <xdr:row>210</xdr:row>
      <xdr:rowOff>28576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66675</xdr:colOff>
      <xdr:row>212</xdr:row>
      <xdr:rowOff>76200</xdr:rowOff>
    </xdr:from>
    <xdr:to>
      <xdr:col>4</xdr:col>
      <xdr:colOff>276225</xdr:colOff>
      <xdr:row>220</xdr:row>
      <xdr:rowOff>133351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38100</xdr:colOff>
      <xdr:row>223</xdr:row>
      <xdr:rowOff>95250</xdr:rowOff>
    </xdr:from>
    <xdr:to>
      <xdr:col>4</xdr:col>
      <xdr:colOff>247650</xdr:colOff>
      <xdr:row>231</xdr:row>
      <xdr:rowOff>152401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76200</xdr:colOff>
      <xdr:row>233</xdr:row>
      <xdr:rowOff>76200</xdr:rowOff>
    </xdr:from>
    <xdr:to>
      <xdr:col>4</xdr:col>
      <xdr:colOff>285750</xdr:colOff>
      <xdr:row>241</xdr:row>
      <xdr:rowOff>133351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</xdr:col>
      <xdr:colOff>47625</xdr:colOff>
      <xdr:row>244</xdr:row>
      <xdr:rowOff>47625</xdr:rowOff>
    </xdr:from>
    <xdr:to>
      <xdr:col>4</xdr:col>
      <xdr:colOff>257175</xdr:colOff>
      <xdr:row>252</xdr:row>
      <xdr:rowOff>104776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/>
  </sheetPr>
  <dimension ref="A1:BZU60"/>
  <sheetViews>
    <sheetView tabSelected="1" zoomScale="80" zoomScaleNormal="80" workbookViewId="0">
      <selection activeCell="WO6" sqref="WO6:YZ6"/>
    </sheetView>
  </sheetViews>
  <sheetFormatPr defaultRowHeight="14.4" outlineLevelRow="1" x14ac:dyDescent="0.3"/>
  <cols>
    <col min="1" max="1" width="9.33203125" style="3" customWidth="1"/>
    <col min="2" max="2" width="6" customWidth="1"/>
    <col min="17" max="17" width="5" customWidth="1"/>
    <col min="176" max="176" width="12.33203125" bestFit="1" customWidth="1"/>
  </cols>
  <sheetData>
    <row r="1" spans="1:2049" outlineLevel="1" x14ac:dyDescent="0.3">
      <c r="A1" s="27" t="s">
        <v>173</v>
      </c>
      <c r="B1" s="12">
        <v>68</v>
      </c>
      <c r="C1" s="12">
        <v>0</v>
      </c>
      <c r="D1" s="12">
        <v>1</v>
      </c>
      <c r="E1" s="12">
        <v>2</v>
      </c>
      <c r="F1" s="12">
        <v>3</v>
      </c>
      <c r="G1" s="12">
        <v>4</v>
      </c>
      <c r="H1" s="12">
        <v>5</v>
      </c>
      <c r="I1" s="12">
        <v>6</v>
      </c>
      <c r="J1" s="12">
        <v>7</v>
      </c>
      <c r="K1" s="12">
        <v>232</v>
      </c>
      <c r="L1" s="12">
        <v>3</v>
      </c>
      <c r="M1" s="12">
        <v>208</v>
      </c>
      <c r="N1" s="12">
        <v>7</v>
      </c>
      <c r="O1" s="12">
        <v>232</v>
      </c>
      <c r="P1" s="12">
        <v>3</v>
      </c>
      <c r="Q1" s="12">
        <v>208</v>
      </c>
      <c r="R1" s="12">
        <v>7</v>
      </c>
      <c r="S1" s="12">
        <v>232</v>
      </c>
      <c r="T1" s="12">
        <v>3</v>
      </c>
      <c r="U1" s="12">
        <v>208</v>
      </c>
      <c r="V1" s="12">
        <v>7</v>
      </c>
      <c r="W1" s="12">
        <v>232</v>
      </c>
      <c r="X1" s="12">
        <v>3</v>
      </c>
      <c r="Y1" s="12">
        <v>208</v>
      </c>
      <c r="Z1" s="12">
        <v>7</v>
      </c>
      <c r="AA1" s="12">
        <v>232</v>
      </c>
      <c r="AB1" s="12">
        <v>3</v>
      </c>
      <c r="AC1" s="12">
        <v>208</v>
      </c>
      <c r="AD1" s="12">
        <v>7</v>
      </c>
      <c r="AE1" s="12">
        <v>232</v>
      </c>
      <c r="AF1" s="12">
        <v>3</v>
      </c>
      <c r="AG1" s="12">
        <v>208</v>
      </c>
      <c r="AH1" s="12">
        <v>7</v>
      </c>
      <c r="AI1" s="12">
        <v>232</v>
      </c>
      <c r="AJ1" s="12">
        <v>3</v>
      </c>
      <c r="AK1" s="12">
        <v>208</v>
      </c>
      <c r="AL1" s="12">
        <v>7</v>
      </c>
      <c r="AM1" s="12">
        <v>232</v>
      </c>
      <c r="AN1" s="12">
        <v>3</v>
      </c>
      <c r="AO1" s="12">
        <v>208</v>
      </c>
      <c r="AP1" s="12">
        <v>7</v>
      </c>
      <c r="AQ1" s="12">
        <v>6</v>
      </c>
      <c r="AR1" s="12">
        <v>2</v>
      </c>
      <c r="AS1" s="12">
        <v>4</v>
      </c>
      <c r="AT1" s="12">
        <v>0</v>
      </c>
      <c r="AU1" s="12">
        <v>4</v>
      </c>
      <c r="AV1" s="12">
        <v>0</v>
      </c>
      <c r="AW1" s="12">
        <v>0</v>
      </c>
      <c r="AX1" s="12">
        <v>0</v>
      </c>
      <c r="AY1" s="12">
        <v>50</v>
      </c>
      <c r="AZ1" s="12">
        <v>100</v>
      </c>
      <c r="BA1" s="12">
        <v>0</v>
      </c>
      <c r="BB1" s="12">
        <v>20</v>
      </c>
      <c r="BC1" s="12">
        <v>40</v>
      </c>
      <c r="BD1" s="12">
        <v>10</v>
      </c>
      <c r="BE1" s="12">
        <v>10</v>
      </c>
      <c r="BF1" s="12">
        <v>2</v>
      </c>
      <c r="BG1" s="12">
        <v>10</v>
      </c>
      <c r="BH1" s="12">
        <v>0</v>
      </c>
      <c r="BI1" s="12">
        <v>40</v>
      </c>
      <c r="BJ1" s="12">
        <v>10</v>
      </c>
      <c r="BK1" s="12">
        <v>10</v>
      </c>
      <c r="BL1" s="12">
        <v>2</v>
      </c>
      <c r="BM1" s="12">
        <v>10</v>
      </c>
      <c r="BN1" s="12">
        <v>0</v>
      </c>
      <c r="BO1" s="12">
        <v>60</v>
      </c>
      <c r="BP1" s="12">
        <v>40</v>
      </c>
      <c r="BQ1" s="12">
        <v>25</v>
      </c>
      <c r="BR1" s="12">
        <v>2</v>
      </c>
      <c r="BS1" s="12">
        <v>0</v>
      </c>
      <c r="BT1" s="12">
        <v>40</v>
      </c>
      <c r="BU1" s="12">
        <v>20</v>
      </c>
      <c r="BV1" s="12">
        <v>10</v>
      </c>
      <c r="BW1" s="12">
        <v>40</v>
      </c>
      <c r="BX1" s="12">
        <v>19</v>
      </c>
      <c r="BY1" s="12">
        <v>14</v>
      </c>
      <c r="BZ1" s="12">
        <v>3</v>
      </c>
      <c r="CA1" s="12">
        <v>1</v>
      </c>
      <c r="CB1" s="12">
        <v>0</v>
      </c>
      <c r="CC1" s="12">
        <v>40</v>
      </c>
      <c r="CD1" s="12">
        <v>19</v>
      </c>
      <c r="CE1" s="12">
        <v>14</v>
      </c>
      <c r="CF1" s="12">
        <v>3</v>
      </c>
      <c r="CG1" s="12">
        <v>1</v>
      </c>
      <c r="CH1" s="12">
        <v>0</v>
      </c>
      <c r="CI1" s="12">
        <v>60</v>
      </c>
      <c r="CJ1" s="12">
        <v>40</v>
      </c>
      <c r="CK1" s="12">
        <v>25</v>
      </c>
      <c r="CL1" s="12">
        <v>2</v>
      </c>
      <c r="CM1" s="12">
        <v>0</v>
      </c>
      <c r="CN1" s="12">
        <v>0</v>
      </c>
      <c r="CO1" s="12">
        <v>0</v>
      </c>
      <c r="CP1" s="12">
        <v>0</v>
      </c>
      <c r="CQ1" s="12">
        <v>0</v>
      </c>
      <c r="CR1" s="12">
        <v>25</v>
      </c>
      <c r="CS1" s="12">
        <v>0</v>
      </c>
      <c r="CT1" s="12">
        <v>0</v>
      </c>
      <c r="CU1" s="12">
        <v>0</v>
      </c>
      <c r="CV1" s="12">
        <v>25</v>
      </c>
      <c r="CW1" s="12">
        <v>0</v>
      </c>
      <c r="CX1" s="12">
        <v>0</v>
      </c>
      <c r="CY1" s="12">
        <v>128</v>
      </c>
      <c r="CZ1" s="12">
        <v>62</v>
      </c>
      <c r="DA1" s="12">
        <v>0</v>
      </c>
      <c r="DB1" s="12">
        <v>0</v>
      </c>
      <c r="DC1" s="12">
        <v>0</v>
      </c>
      <c r="DD1" s="12">
        <v>25</v>
      </c>
      <c r="DE1" s="12">
        <v>0</v>
      </c>
      <c r="DF1" s="12">
        <v>0</v>
      </c>
      <c r="DG1" s="12">
        <v>0</v>
      </c>
      <c r="DH1" s="12">
        <v>35</v>
      </c>
      <c r="DI1" s="12">
        <v>0</v>
      </c>
      <c r="DJ1" s="12">
        <v>0</v>
      </c>
      <c r="DK1" s="12">
        <v>0</v>
      </c>
      <c r="DL1" s="12">
        <v>35</v>
      </c>
      <c r="DM1" s="12">
        <v>0</v>
      </c>
      <c r="DN1" s="12">
        <v>0</v>
      </c>
      <c r="DO1" s="12">
        <v>128</v>
      </c>
      <c r="DP1" s="12">
        <v>62</v>
      </c>
      <c r="DQ1" s="12">
        <v>0</v>
      </c>
      <c r="DR1" s="12">
        <v>0</v>
      </c>
      <c r="DS1" s="12">
        <v>0</v>
      </c>
      <c r="DT1" s="12">
        <v>0</v>
      </c>
      <c r="DU1" s="12">
        <v>0</v>
      </c>
      <c r="DV1" s="12">
        <v>0</v>
      </c>
      <c r="DW1" s="12">
        <v>0</v>
      </c>
      <c r="DX1" s="12">
        <v>80</v>
      </c>
      <c r="DY1" s="12">
        <v>0</v>
      </c>
      <c r="DZ1" s="12">
        <v>0</v>
      </c>
      <c r="EA1" s="12">
        <v>0</v>
      </c>
      <c r="EB1" s="12">
        <v>80</v>
      </c>
      <c r="EC1" s="12">
        <v>0</v>
      </c>
      <c r="ED1" s="12">
        <v>0</v>
      </c>
      <c r="EE1" s="12">
        <v>0</v>
      </c>
      <c r="EF1" s="12">
        <v>50</v>
      </c>
      <c r="EG1" s="12">
        <v>0</v>
      </c>
      <c r="EH1" s="12">
        <v>0</v>
      </c>
      <c r="EI1" s="12">
        <v>0</v>
      </c>
      <c r="EJ1" s="12">
        <v>5</v>
      </c>
      <c r="EK1" s="12">
        <v>0</v>
      </c>
      <c r="EL1" s="12">
        <v>0</v>
      </c>
      <c r="EM1" s="12">
        <v>242</v>
      </c>
      <c r="EN1" s="12">
        <v>58</v>
      </c>
      <c r="EO1" s="12">
        <v>0</v>
      </c>
      <c r="EP1" s="12">
        <v>0</v>
      </c>
      <c r="EQ1" s="12">
        <v>242</v>
      </c>
      <c r="ER1" s="12">
        <v>58</v>
      </c>
      <c r="ES1" s="12">
        <v>0</v>
      </c>
      <c r="ET1" s="12">
        <v>0</v>
      </c>
      <c r="EU1" s="12">
        <v>0</v>
      </c>
      <c r="EV1" s="12">
        <v>50</v>
      </c>
      <c r="EW1" s="12">
        <v>0</v>
      </c>
      <c r="EX1" s="12">
        <v>0</v>
      </c>
      <c r="EY1" s="12">
        <v>0</v>
      </c>
      <c r="EZ1" s="12">
        <v>0</v>
      </c>
      <c r="FA1" s="12">
        <v>0</v>
      </c>
      <c r="FB1" s="12">
        <v>0</v>
      </c>
      <c r="FC1" s="12">
        <v>0</v>
      </c>
      <c r="FD1" s="12">
        <v>0</v>
      </c>
      <c r="FE1" s="12">
        <v>0</v>
      </c>
      <c r="FF1" s="12">
        <v>0</v>
      </c>
      <c r="FG1" s="12">
        <v>36</v>
      </c>
      <c r="FH1" s="12">
        <v>1</v>
      </c>
      <c r="FI1" s="12">
        <v>30</v>
      </c>
      <c r="FJ1" s="12">
        <v>0</v>
      </c>
      <c r="FK1" s="12">
        <v>3</v>
      </c>
      <c r="FL1" s="12">
        <v>2</v>
      </c>
      <c r="FM1" s="12">
        <v>7</v>
      </c>
      <c r="FN1" s="12">
        <v>6</v>
      </c>
      <c r="FO1" s="12">
        <v>4</v>
      </c>
      <c r="FP1" s="17">
        <v>1</v>
      </c>
      <c r="FQ1" s="12">
        <v>0</v>
      </c>
      <c r="FR1" s="12">
        <v>0</v>
      </c>
      <c r="FS1" s="12">
        <v>0</v>
      </c>
      <c r="FT1" s="12">
        <v>0</v>
      </c>
      <c r="FU1" s="12">
        <v>2</v>
      </c>
      <c r="FV1" s="12">
        <v>100</v>
      </c>
      <c r="FW1" s="12">
        <v>100</v>
      </c>
      <c r="FX1" s="12">
        <v>0</v>
      </c>
      <c r="FY1" s="12">
        <v>15</v>
      </c>
      <c r="FZ1" s="12">
        <v>20</v>
      </c>
      <c r="GA1" s="12">
        <v>241</v>
      </c>
      <c r="GB1" s="12">
        <v>236</v>
      </c>
      <c r="GC1" s="12">
        <v>216</v>
      </c>
      <c r="GD1" s="12">
        <v>206</v>
      </c>
      <c r="GE1" s="12">
        <v>1</v>
      </c>
      <c r="GF1" s="12">
        <v>1</v>
      </c>
      <c r="GG1" s="12">
        <v>1</v>
      </c>
      <c r="GH1" s="12">
        <v>1</v>
      </c>
      <c r="GI1" s="12">
        <v>1</v>
      </c>
      <c r="GJ1" s="12">
        <v>1</v>
      </c>
      <c r="GK1" s="12">
        <v>1</v>
      </c>
      <c r="GL1" s="12">
        <v>1</v>
      </c>
      <c r="GM1" s="12">
        <v>1</v>
      </c>
      <c r="GN1" s="12">
        <v>1</v>
      </c>
      <c r="GO1" s="12">
        <v>1</v>
      </c>
      <c r="GP1" s="12">
        <v>1</v>
      </c>
      <c r="GQ1" s="12">
        <v>20</v>
      </c>
      <c r="GR1" s="12">
        <v>0</v>
      </c>
      <c r="GS1" s="12">
        <v>20</v>
      </c>
      <c r="GT1" s="12">
        <v>0</v>
      </c>
      <c r="GU1" s="12">
        <v>20</v>
      </c>
      <c r="GV1" s="12">
        <v>0</v>
      </c>
      <c r="GW1" s="12">
        <v>20</v>
      </c>
      <c r="GX1" s="12">
        <v>0</v>
      </c>
      <c r="GY1" s="12">
        <v>0</v>
      </c>
      <c r="GZ1" s="12">
        <v>0</v>
      </c>
      <c r="HA1" s="12">
        <v>0</v>
      </c>
      <c r="HB1" s="12">
        <v>0</v>
      </c>
      <c r="HC1" s="12">
        <v>2</v>
      </c>
      <c r="HD1" s="12">
        <v>100</v>
      </c>
      <c r="HE1" s="12">
        <v>100</v>
      </c>
      <c r="HF1" s="12">
        <v>0</v>
      </c>
      <c r="HG1" s="12">
        <v>241</v>
      </c>
      <c r="HH1" s="12">
        <v>236</v>
      </c>
      <c r="HI1" s="12">
        <v>241</v>
      </c>
      <c r="HJ1" s="12">
        <v>236</v>
      </c>
      <c r="HK1" s="12">
        <v>40</v>
      </c>
      <c r="HL1" s="12">
        <v>50</v>
      </c>
      <c r="HM1" s="12">
        <v>1</v>
      </c>
      <c r="HN1" s="12">
        <v>1</v>
      </c>
      <c r="HO1" s="12">
        <v>1</v>
      </c>
      <c r="HP1" s="12">
        <v>1</v>
      </c>
      <c r="HQ1" s="12">
        <v>1</v>
      </c>
      <c r="HR1" s="12">
        <v>1</v>
      </c>
      <c r="HS1" s="12">
        <v>1</v>
      </c>
      <c r="HT1" s="12">
        <v>1</v>
      </c>
      <c r="HU1" s="12">
        <v>1</v>
      </c>
      <c r="HV1" s="12">
        <v>1</v>
      </c>
      <c r="HW1" s="12">
        <v>1</v>
      </c>
      <c r="HX1" s="12">
        <v>1</v>
      </c>
      <c r="HY1" s="12">
        <v>20</v>
      </c>
      <c r="HZ1" s="12">
        <v>0</v>
      </c>
      <c r="IA1" s="12">
        <v>20</v>
      </c>
      <c r="IB1" s="12">
        <v>0</v>
      </c>
      <c r="IC1" s="12">
        <v>20</v>
      </c>
      <c r="ID1" s="12">
        <v>0</v>
      </c>
      <c r="IE1" s="12">
        <v>20</v>
      </c>
      <c r="IF1" s="12">
        <v>0</v>
      </c>
      <c r="IG1" s="12">
        <v>0</v>
      </c>
      <c r="IH1" s="12">
        <v>0</v>
      </c>
      <c r="II1" s="12">
        <v>0</v>
      </c>
      <c r="IJ1" s="12">
        <v>0</v>
      </c>
      <c r="IK1" s="12">
        <v>2</v>
      </c>
      <c r="IL1" s="12">
        <v>100</v>
      </c>
      <c r="IM1" s="12">
        <v>100</v>
      </c>
      <c r="IN1" s="12">
        <v>0</v>
      </c>
      <c r="IO1" s="12">
        <v>241</v>
      </c>
      <c r="IP1" s="12">
        <v>236</v>
      </c>
      <c r="IQ1" s="12">
        <v>15</v>
      </c>
      <c r="IR1" s="12">
        <v>20</v>
      </c>
      <c r="IS1" s="12">
        <v>216</v>
      </c>
      <c r="IT1" s="12">
        <v>206</v>
      </c>
      <c r="IU1" s="12">
        <v>1</v>
      </c>
      <c r="IV1" s="12">
        <v>1</v>
      </c>
      <c r="IW1" s="12">
        <v>1</v>
      </c>
      <c r="IX1" s="12">
        <v>1</v>
      </c>
      <c r="IY1" s="12">
        <v>1</v>
      </c>
      <c r="IZ1" s="12">
        <v>1</v>
      </c>
      <c r="JA1" s="12">
        <v>1</v>
      </c>
      <c r="JB1" s="12">
        <v>1</v>
      </c>
      <c r="JC1" s="12">
        <v>1</v>
      </c>
      <c r="JD1" s="12">
        <v>1</v>
      </c>
      <c r="JE1" s="12">
        <v>1</v>
      </c>
      <c r="JF1" s="12">
        <v>1</v>
      </c>
      <c r="JG1" s="12">
        <v>20</v>
      </c>
      <c r="JH1" s="12">
        <v>0</v>
      </c>
      <c r="JI1" s="12">
        <v>20</v>
      </c>
      <c r="JJ1" s="12">
        <v>0</v>
      </c>
      <c r="JK1" s="12">
        <v>20</v>
      </c>
      <c r="JL1" s="12">
        <v>0</v>
      </c>
      <c r="JM1" s="12">
        <v>20</v>
      </c>
      <c r="JN1" s="12">
        <v>0</v>
      </c>
      <c r="JO1" s="12">
        <v>0</v>
      </c>
      <c r="JP1" s="12">
        <v>0</v>
      </c>
      <c r="JQ1" s="12">
        <v>0</v>
      </c>
      <c r="JR1" s="12">
        <v>0</v>
      </c>
      <c r="JS1" s="12">
        <v>2</v>
      </c>
      <c r="JT1" s="12">
        <v>100</v>
      </c>
      <c r="JU1" s="12">
        <v>100</v>
      </c>
      <c r="JV1" s="12">
        <v>0</v>
      </c>
      <c r="JW1" s="12">
        <v>15</v>
      </c>
      <c r="JX1" s="12">
        <v>20</v>
      </c>
      <c r="JY1" s="12">
        <v>15</v>
      </c>
      <c r="JZ1" s="12">
        <v>20</v>
      </c>
      <c r="KA1" s="12">
        <v>40</v>
      </c>
      <c r="KB1" s="12">
        <v>50</v>
      </c>
      <c r="KC1" s="12">
        <v>1</v>
      </c>
      <c r="KD1" s="12">
        <v>1</v>
      </c>
      <c r="KE1" s="12">
        <v>1</v>
      </c>
      <c r="KF1" s="12">
        <v>1</v>
      </c>
      <c r="KG1" s="12">
        <v>1</v>
      </c>
      <c r="KH1" s="12">
        <v>1</v>
      </c>
      <c r="KI1" s="12">
        <v>1</v>
      </c>
      <c r="KJ1" s="12">
        <v>1</v>
      </c>
      <c r="KK1" s="12">
        <v>1</v>
      </c>
      <c r="KL1" s="12">
        <v>1</v>
      </c>
      <c r="KM1" s="12">
        <v>1</v>
      </c>
      <c r="KN1" s="12">
        <v>1</v>
      </c>
      <c r="KO1" s="12">
        <v>20</v>
      </c>
      <c r="KP1" s="12">
        <v>0</v>
      </c>
      <c r="KQ1" s="12">
        <v>20</v>
      </c>
      <c r="KR1" s="12">
        <v>0</v>
      </c>
      <c r="KS1" s="12">
        <v>20</v>
      </c>
      <c r="KT1" s="12">
        <v>0</v>
      </c>
      <c r="KU1" s="12">
        <v>20</v>
      </c>
      <c r="KV1" s="12">
        <v>0</v>
      </c>
      <c r="KW1" s="12">
        <v>0</v>
      </c>
      <c r="KX1" s="12">
        <v>0</v>
      </c>
      <c r="KY1" s="12">
        <v>0</v>
      </c>
      <c r="KZ1" s="12">
        <v>0</v>
      </c>
      <c r="LA1" s="12">
        <v>0</v>
      </c>
      <c r="LB1" s="12">
        <v>0</v>
      </c>
      <c r="LC1" s="12">
        <v>0</v>
      </c>
      <c r="LD1" s="12">
        <v>0</v>
      </c>
      <c r="LE1" s="12">
        <v>0</v>
      </c>
      <c r="LF1" s="12">
        <v>0</v>
      </c>
      <c r="LG1" s="12">
        <v>75</v>
      </c>
      <c r="LH1" s="12">
        <v>100</v>
      </c>
      <c r="LI1" s="12">
        <v>0</v>
      </c>
      <c r="LJ1" s="12">
        <v>0</v>
      </c>
      <c r="LK1" s="12">
        <v>0</v>
      </c>
      <c r="LL1" s="12">
        <v>0</v>
      </c>
      <c r="LM1" s="12">
        <v>0</v>
      </c>
      <c r="LN1" s="12">
        <v>0</v>
      </c>
      <c r="LO1" s="12">
        <v>0</v>
      </c>
      <c r="LP1" s="12">
        <v>0</v>
      </c>
      <c r="LQ1" s="12">
        <v>0</v>
      </c>
      <c r="LR1" s="12">
        <v>0</v>
      </c>
      <c r="LS1" s="12">
        <v>0</v>
      </c>
      <c r="LT1" s="12">
        <v>0</v>
      </c>
      <c r="LU1" s="12">
        <v>0</v>
      </c>
      <c r="LV1" s="12">
        <v>0</v>
      </c>
      <c r="LW1" s="12">
        <v>20</v>
      </c>
      <c r="LX1" s="12">
        <v>0</v>
      </c>
      <c r="LY1" s="12">
        <v>20</v>
      </c>
      <c r="LZ1" s="12">
        <v>0</v>
      </c>
      <c r="MA1" s="12">
        <v>20</v>
      </c>
      <c r="MB1" s="12">
        <v>0</v>
      </c>
      <c r="MC1" s="12">
        <v>20</v>
      </c>
      <c r="MD1" s="12">
        <v>0</v>
      </c>
      <c r="ME1" s="12">
        <v>0</v>
      </c>
      <c r="MF1" s="12">
        <v>0</v>
      </c>
      <c r="MG1" s="12">
        <v>0</v>
      </c>
      <c r="MH1" s="12">
        <v>0</v>
      </c>
      <c r="MI1" s="12">
        <v>0</v>
      </c>
      <c r="MJ1" s="12">
        <v>0</v>
      </c>
      <c r="MK1" s="12">
        <v>0</v>
      </c>
      <c r="ML1" s="12">
        <v>0</v>
      </c>
      <c r="MM1" s="12">
        <v>75</v>
      </c>
      <c r="MN1" s="12">
        <v>100</v>
      </c>
      <c r="MO1" s="12">
        <v>0</v>
      </c>
      <c r="MP1" s="12">
        <v>0</v>
      </c>
      <c r="MQ1" s="12">
        <v>0</v>
      </c>
      <c r="MR1" s="12">
        <v>0</v>
      </c>
      <c r="MS1" s="12">
        <v>0</v>
      </c>
      <c r="MT1" s="12">
        <v>0</v>
      </c>
      <c r="MU1" s="12">
        <v>0</v>
      </c>
      <c r="MV1" s="12">
        <v>0</v>
      </c>
      <c r="MW1" s="12">
        <v>0</v>
      </c>
      <c r="MX1" s="12">
        <v>0</v>
      </c>
      <c r="MY1" s="12">
        <v>0</v>
      </c>
      <c r="MZ1" s="12">
        <v>0</v>
      </c>
      <c r="NA1" s="12">
        <v>0</v>
      </c>
      <c r="NB1" s="12">
        <v>0</v>
      </c>
      <c r="NC1" s="12">
        <v>0</v>
      </c>
      <c r="ND1" s="12">
        <v>0</v>
      </c>
      <c r="NE1" s="12">
        <v>20</v>
      </c>
      <c r="NF1" s="12">
        <v>0</v>
      </c>
      <c r="NG1" s="12">
        <v>20</v>
      </c>
      <c r="NH1" s="12">
        <v>0</v>
      </c>
      <c r="NI1" s="12">
        <v>20</v>
      </c>
      <c r="NJ1" s="12">
        <v>0</v>
      </c>
      <c r="NK1" s="12">
        <v>20</v>
      </c>
      <c r="NL1" s="12">
        <v>0</v>
      </c>
      <c r="NM1" s="12">
        <v>0</v>
      </c>
      <c r="NN1" s="12">
        <v>0</v>
      </c>
      <c r="NO1" s="12">
        <v>0</v>
      </c>
      <c r="NP1" s="12">
        <v>0</v>
      </c>
      <c r="NQ1" s="12">
        <v>0</v>
      </c>
      <c r="NR1" s="12">
        <v>0</v>
      </c>
      <c r="NS1" s="12">
        <v>0</v>
      </c>
      <c r="NT1" s="12">
        <v>0</v>
      </c>
      <c r="NU1" s="12">
        <v>0</v>
      </c>
      <c r="NV1" s="12">
        <v>0</v>
      </c>
      <c r="NW1" s="12">
        <v>0</v>
      </c>
      <c r="NX1" s="12">
        <v>0</v>
      </c>
      <c r="NY1" s="12">
        <v>75</v>
      </c>
      <c r="NZ1" s="12">
        <v>100</v>
      </c>
      <c r="OA1" s="12">
        <v>0</v>
      </c>
      <c r="OB1" s="12">
        <v>0</v>
      </c>
      <c r="OC1" s="12">
        <v>0</v>
      </c>
      <c r="OD1" s="12">
        <v>0</v>
      </c>
      <c r="OE1" s="12">
        <v>0</v>
      </c>
      <c r="OF1" s="12">
        <v>0</v>
      </c>
      <c r="OG1" s="12">
        <v>0</v>
      </c>
      <c r="OH1" s="12">
        <v>0</v>
      </c>
      <c r="OI1" s="12">
        <v>0</v>
      </c>
      <c r="OJ1" s="12">
        <v>0</v>
      </c>
      <c r="OK1" s="12">
        <v>0</v>
      </c>
      <c r="OL1" s="12">
        <v>0</v>
      </c>
      <c r="OM1" s="12">
        <v>20</v>
      </c>
      <c r="ON1" s="12">
        <v>0</v>
      </c>
      <c r="OO1" s="12">
        <v>20</v>
      </c>
      <c r="OP1" s="12">
        <v>0</v>
      </c>
      <c r="OQ1" s="12">
        <v>20</v>
      </c>
      <c r="OR1" s="12">
        <v>0</v>
      </c>
      <c r="OS1" s="12">
        <v>20</v>
      </c>
      <c r="OT1" s="12">
        <v>0</v>
      </c>
      <c r="OU1" s="12">
        <v>0</v>
      </c>
      <c r="OV1" s="12">
        <v>0</v>
      </c>
      <c r="OW1" s="12">
        <v>0</v>
      </c>
      <c r="OX1" s="12">
        <v>0</v>
      </c>
      <c r="OY1" s="12">
        <v>0</v>
      </c>
      <c r="OZ1" s="12">
        <v>0</v>
      </c>
      <c r="PA1" s="12">
        <v>0</v>
      </c>
      <c r="PB1" s="12">
        <v>0</v>
      </c>
      <c r="PC1" s="12">
        <v>0</v>
      </c>
      <c r="PD1" s="12">
        <v>0</v>
      </c>
      <c r="PE1" s="12">
        <v>0</v>
      </c>
      <c r="PF1" s="12">
        <v>0</v>
      </c>
      <c r="PG1" s="12">
        <v>0</v>
      </c>
      <c r="PH1" s="12">
        <v>0</v>
      </c>
      <c r="PI1" s="12">
        <v>0</v>
      </c>
      <c r="PJ1" s="12">
        <v>0</v>
      </c>
      <c r="PK1" s="12">
        <v>0</v>
      </c>
      <c r="PL1" s="12">
        <v>0</v>
      </c>
      <c r="PM1" s="12">
        <v>0</v>
      </c>
      <c r="PN1" s="12">
        <v>0</v>
      </c>
      <c r="PO1" s="12">
        <v>0</v>
      </c>
      <c r="PP1" s="12">
        <v>0</v>
      </c>
      <c r="PQ1" s="12">
        <v>0</v>
      </c>
      <c r="PR1" s="12">
        <v>0</v>
      </c>
      <c r="PS1" s="12">
        <v>0</v>
      </c>
      <c r="PT1" s="12">
        <v>0</v>
      </c>
      <c r="PU1" s="12">
        <v>20</v>
      </c>
      <c r="PV1" s="12">
        <v>0</v>
      </c>
      <c r="PW1" s="12">
        <v>20</v>
      </c>
      <c r="PX1" s="12">
        <v>0</v>
      </c>
      <c r="PY1" s="12">
        <v>20</v>
      </c>
      <c r="PZ1" s="12">
        <v>0</v>
      </c>
      <c r="QA1" s="12">
        <v>20</v>
      </c>
      <c r="QB1" s="12">
        <v>0</v>
      </c>
      <c r="QC1" s="12">
        <v>0</v>
      </c>
      <c r="QD1" s="12">
        <v>0</v>
      </c>
      <c r="QE1" s="12">
        <v>0</v>
      </c>
      <c r="QF1" s="12">
        <v>0</v>
      </c>
      <c r="QG1" s="12">
        <v>0</v>
      </c>
      <c r="QH1" s="12">
        <v>0</v>
      </c>
      <c r="QI1" s="12">
        <v>0</v>
      </c>
      <c r="QJ1" s="12">
        <v>0</v>
      </c>
      <c r="QK1" s="12">
        <v>156</v>
      </c>
      <c r="QL1" s="12">
        <v>156</v>
      </c>
      <c r="QM1" s="12">
        <v>156</v>
      </c>
      <c r="QN1" s="12">
        <v>156</v>
      </c>
      <c r="QO1" s="12">
        <v>156</v>
      </c>
      <c r="QP1" s="12">
        <v>156</v>
      </c>
      <c r="QQ1" s="12">
        <v>156</v>
      </c>
      <c r="QR1" s="12">
        <v>156</v>
      </c>
      <c r="QS1" s="12">
        <v>100</v>
      </c>
      <c r="QT1" s="12">
        <v>100</v>
      </c>
      <c r="QU1" s="12">
        <v>100</v>
      </c>
      <c r="QV1" s="12">
        <v>100</v>
      </c>
      <c r="QW1" s="12">
        <v>100</v>
      </c>
      <c r="QX1" s="12">
        <v>100</v>
      </c>
      <c r="QY1" s="12">
        <v>100</v>
      </c>
      <c r="QZ1" s="12">
        <v>100</v>
      </c>
      <c r="RA1" s="12">
        <v>190</v>
      </c>
      <c r="RB1" s="12">
        <v>10</v>
      </c>
      <c r="RC1" s="12">
        <v>166</v>
      </c>
      <c r="RD1" s="12">
        <v>14</v>
      </c>
      <c r="RE1" s="12">
        <v>166</v>
      </c>
      <c r="RF1" s="12">
        <v>14</v>
      </c>
      <c r="RG1" s="12">
        <v>166</v>
      </c>
      <c r="RH1" s="12">
        <v>14</v>
      </c>
      <c r="RI1" s="12">
        <v>166</v>
      </c>
      <c r="RJ1" s="12">
        <v>14</v>
      </c>
      <c r="RK1" s="12">
        <v>166</v>
      </c>
      <c r="RL1" s="12">
        <v>14</v>
      </c>
      <c r="RM1" s="12">
        <v>166</v>
      </c>
      <c r="RN1" s="12">
        <v>14</v>
      </c>
      <c r="RO1" s="12">
        <v>166</v>
      </c>
      <c r="RP1" s="12">
        <v>14</v>
      </c>
      <c r="RQ1" s="12">
        <v>0</v>
      </c>
      <c r="RR1" s="12">
        <v>0</v>
      </c>
      <c r="RS1" s="12">
        <v>0</v>
      </c>
      <c r="RT1" s="12">
        <v>0</v>
      </c>
      <c r="RU1" s="12">
        <v>0</v>
      </c>
      <c r="RV1" s="12">
        <v>0</v>
      </c>
      <c r="RW1" s="12">
        <v>128</v>
      </c>
      <c r="RX1" s="12">
        <v>0</v>
      </c>
      <c r="RY1" s="12">
        <v>0</v>
      </c>
      <c r="RZ1" s="12">
        <v>0</v>
      </c>
      <c r="SA1" s="12">
        <v>0</v>
      </c>
      <c r="SB1" s="12">
        <v>0</v>
      </c>
      <c r="SC1" s="12">
        <v>0</v>
      </c>
      <c r="SD1" s="12">
        <v>0</v>
      </c>
      <c r="SE1" s="12">
        <v>0</v>
      </c>
      <c r="SF1" s="12">
        <v>0</v>
      </c>
      <c r="SG1" s="12">
        <v>0</v>
      </c>
      <c r="SH1" s="12">
        <v>0</v>
      </c>
      <c r="SI1" s="12">
        <v>0</v>
      </c>
      <c r="SJ1" s="12">
        <v>0</v>
      </c>
      <c r="SK1" s="12">
        <v>1</v>
      </c>
      <c r="SL1" s="12">
        <v>0</v>
      </c>
      <c r="SM1" s="12">
        <v>0</v>
      </c>
      <c r="SN1" s="12">
        <v>0</v>
      </c>
      <c r="SO1" s="12">
        <v>0</v>
      </c>
      <c r="SP1" s="12">
        <v>0</v>
      </c>
      <c r="SQ1" s="12">
        <v>0</v>
      </c>
      <c r="SR1" s="12">
        <v>0</v>
      </c>
      <c r="SS1" s="12">
        <v>0</v>
      </c>
      <c r="ST1" s="12">
        <v>0</v>
      </c>
      <c r="SU1" s="12">
        <v>0</v>
      </c>
      <c r="SV1" s="12">
        <v>0</v>
      </c>
      <c r="SW1" s="12">
        <v>0</v>
      </c>
      <c r="SX1" s="12">
        <v>0</v>
      </c>
      <c r="SY1" s="12">
        <v>0</v>
      </c>
      <c r="SZ1" s="12">
        <v>0</v>
      </c>
      <c r="TA1" s="12">
        <v>0</v>
      </c>
      <c r="TB1" s="12">
        <v>0</v>
      </c>
      <c r="TC1" s="12">
        <v>0</v>
      </c>
      <c r="TD1" s="12">
        <v>0</v>
      </c>
      <c r="TE1" s="12">
        <v>0</v>
      </c>
      <c r="TF1" s="12">
        <v>0</v>
      </c>
      <c r="TG1" s="12">
        <v>0</v>
      </c>
      <c r="TH1" s="12">
        <v>0</v>
      </c>
      <c r="TI1" s="12">
        <v>0</v>
      </c>
      <c r="TJ1" s="12">
        <v>0</v>
      </c>
      <c r="TK1" s="12">
        <v>0</v>
      </c>
      <c r="TL1" s="12">
        <v>0</v>
      </c>
      <c r="TM1" s="12">
        <v>0</v>
      </c>
      <c r="TN1" s="12">
        <v>0</v>
      </c>
      <c r="TO1" s="12">
        <v>0</v>
      </c>
      <c r="TP1" s="12">
        <v>0</v>
      </c>
      <c r="TQ1" s="12">
        <v>0</v>
      </c>
      <c r="TR1" s="12">
        <v>0</v>
      </c>
      <c r="TS1" s="12">
        <v>0</v>
      </c>
      <c r="TT1" s="12">
        <v>0</v>
      </c>
      <c r="TU1" s="12">
        <v>0</v>
      </c>
      <c r="TV1" s="12">
        <v>0</v>
      </c>
      <c r="TW1" s="12">
        <v>0</v>
      </c>
      <c r="TX1" s="12">
        <v>128</v>
      </c>
      <c r="TY1" s="12">
        <v>0</v>
      </c>
      <c r="TZ1" s="12">
        <v>0</v>
      </c>
      <c r="UA1" s="12">
        <v>0</v>
      </c>
      <c r="UB1" s="12">
        <v>0</v>
      </c>
      <c r="UC1" s="12">
        <v>0</v>
      </c>
      <c r="UD1" s="12">
        <v>3</v>
      </c>
      <c r="UE1" s="12">
        <v>0</v>
      </c>
      <c r="UF1" s="12">
        <v>255</v>
      </c>
      <c r="UG1" s="12">
        <v>255</v>
      </c>
      <c r="UH1" s="12">
        <v>254</v>
      </c>
      <c r="UI1" s="12">
        <v>255</v>
      </c>
      <c r="UJ1" s="12">
        <v>4</v>
      </c>
      <c r="UK1" s="12">
        <v>0</v>
      </c>
      <c r="UL1" s="12">
        <v>17</v>
      </c>
      <c r="UM1" s="12">
        <v>33</v>
      </c>
      <c r="UN1" s="12">
        <v>50</v>
      </c>
      <c r="UO1" s="12">
        <v>67</v>
      </c>
      <c r="UP1" s="12">
        <v>83</v>
      </c>
      <c r="UQ1" s="12">
        <v>100</v>
      </c>
      <c r="UR1" s="12">
        <v>0</v>
      </c>
      <c r="US1" s="12">
        <v>0</v>
      </c>
      <c r="UT1" s="12">
        <v>17</v>
      </c>
      <c r="UU1" s="12">
        <v>33</v>
      </c>
      <c r="UV1" s="12">
        <v>50</v>
      </c>
      <c r="UW1" s="12">
        <v>67</v>
      </c>
      <c r="UX1" s="12">
        <v>83</v>
      </c>
      <c r="UY1" s="12">
        <v>100</v>
      </c>
      <c r="UZ1" s="12">
        <v>0</v>
      </c>
      <c r="VA1" s="12">
        <v>156</v>
      </c>
      <c r="VB1" s="12">
        <v>189</v>
      </c>
      <c r="VC1" s="12">
        <v>223</v>
      </c>
      <c r="VD1" s="12">
        <v>0</v>
      </c>
      <c r="VE1" s="12">
        <v>33</v>
      </c>
      <c r="VF1" s="12">
        <v>67</v>
      </c>
      <c r="VG1" s="12">
        <v>100</v>
      </c>
      <c r="VH1" s="12">
        <v>0</v>
      </c>
      <c r="VI1" s="12">
        <v>156</v>
      </c>
      <c r="VJ1" s="12">
        <v>189</v>
      </c>
      <c r="VK1" s="12">
        <v>223</v>
      </c>
      <c r="VL1" s="12">
        <v>0</v>
      </c>
      <c r="VM1" s="12">
        <v>33</v>
      </c>
      <c r="VN1" s="12">
        <v>67</v>
      </c>
      <c r="VO1" s="12">
        <v>100</v>
      </c>
      <c r="VP1" s="12">
        <v>0</v>
      </c>
      <c r="VQ1" s="12">
        <v>156</v>
      </c>
      <c r="VR1" s="12">
        <v>189</v>
      </c>
      <c r="VS1" s="12">
        <v>223</v>
      </c>
      <c r="VT1" s="12">
        <v>0</v>
      </c>
      <c r="VU1" s="12">
        <v>33</v>
      </c>
      <c r="VV1" s="12">
        <v>67</v>
      </c>
      <c r="VW1" s="12">
        <v>100</v>
      </c>
      <c r="VX1" s="12">
        <v>20</v>
      </c>
      <c r="VY1" s="12">
        <v>156</v>
      </c>
      <c r="VZ1" s="12">
        <v>189</v>
      </c>
      <c r="WA1" s="12">
        <v>223</v>
      </c>
      <c r="WB1" s="12">
        <v>0</v>
      </c>
      <c r="WC1" s="12">
        <v>33</v>
      </c>
      <c r="WD1" s="12">
        <v>67</v>
      </c>
      <c r="WE1" s="12">
        <v>100</v>
      </c>
      <c r="WF1" s="12">
        <v>20</v>
      </c>
      <c r="WG1" s="12">
        <v>0</v>
      </c>
      <c r="WH1" s="12">
        <v>1</v>
      </c>
      <c r="WI1" s="12">
        <v>2</v>
      </c>
      <c r="WJ1" s="12">
        <v>3</v>
      </c>
      <c r="WK1" s="12">
        <v>4</v>
      </c>
      <c r="WL1" s="12">
        <v>5</v>
      </c>
      <c r="WM1" s="12">
        <v>6</v>
      </c>
      <c r="WN1" s="12">
        <v>7</v>
      </c>
      <c r="WO1" s="12">
        <v>0</v>
      </c>
      <c r="WP1" s="12">
        <v>0</v>
      </c>
      <c r="WQ1" s="12">
        <v>0</v>
      </c>
      <c r="WR1" s="12">
        <v>0</v>
      </c>
      <c r="WS1" s="12">
        <v>0</v>
      </c>
      <c r="WT1" s="12">
        <v>0</v>
      </c>
      <c r="WU1" s="12">
        <v>0</v>
      </c>
      <c r="WV1" s="12">
        <v>0</v>
      </c>
      <c r="WW1" s="12">
        <v>0</v>
      </c>
      <c r="WX1" s="12">
        <v>0</v>
      </c>
      <c r="WY1" s="12">
        <v>0</v>
      </c>
      <c r="WZ1" s="12">
        <v>0</v>
      </c>
      <c r="XA1" s="12">
        <v>0</v>
      </c>
      <c r="XB1" s="12">
        <v>0</v>
      </c>
      <c r="XC1" s="12">
        <v>0</v>
      </c>
      <c r="XD1" s="12">
        <v>0</v>
      </c>
      <c r="XE1" s="12">
        <v>0</v>
      </c>
      <c r="XF1" s="12">
        <v>0</v>
      </c>
      <c r="XG1" s="12">
        <v>0</v>
      </c>
      <c r="XH1" s="12">
        <v>0</v>
      </c>
      <c r="XI1" s="12">
        <v>0</v>
      </c>
      <c r="XJ1" s="12">
        <v>0</v>
      </c>
      <c r="XK1" s="12">
        <v>0</v>
      </c>
      <c r="XL1" s="12">
        <v>0</v>
      </c>
      <c r="XM1" s="12">
        <v>0</v>
      </c>
      <c r="XN1" s="12">
        <v>0</v>
      </c>
      <c r="XO1" s="12">
        <v>0</v>
      </c>
      <c r="XP1" s="12">
        <v>0</v>
      </c>
      <c r="XQ1" s="12">
        <v>0</v>
      </c>
      <c r="XR1" s="12">
        <v>0</v>
      </c>
      <c r="XS1" s="12">
        <v>0</v>
      </c>
      <c r="XT1" s="12">
        <v>0</v>
      </c>
      <c r="XU1" s="12">
        <v>0</v>
      </c>
      <c r="XV1" s="12">
        <v>0</v>
      </c>
      <c r="XW1" s="12">
        <v>0</v>
      </c>
      <c r="XX1" s="12">
        <v>0</v>
      </c>
      <c r="XY1" s="12">
        <v>0</v>
      </c>
      <c r="XZ1" s="12">
        <v>0</v>
      </c>
      <c r="YA1" s="12">
        <v>0</v>
      </c>
      <c r="YB1" s="12">
        <v>0</v>
      </c>
      <c r="YC1" s="12">
        <v>0</v>
      </c>
      <c r="YD1" s="12">
        <v>0</v>
      </c>
      <c r="YE1" s="12">
        <v>0</v>
      </c>
      <c r="YF1" s="12">
        <v>0</v>
      </c>
      <c r="YG1" s="12">
        <v>0</v>
      </c>
      <c r="YH1" s="12">
        <v>0</v>
      </c>
      <c r="YI1" s="12">
        <v>0</v>
      </c>
      <c r="YJ1" s="12">
        <v>0</v>
      </c>
      <c r="YK1" s="12">
        <v>0</v>
      </c>
      <c r="YL1" s="12">
        <v>0</v>
      </c>
      <c r="YM1" s="12">
        <v>0</v>
      </c>
      <c r="YN1" s="12">
        <v>0</v>
      </c>
      <c r="YO1" s="12">
        <v>0</v>
      </c>
      <c r="YP1" s="12">
        <v>0</v>
      </c>
      <c r="YQ1" s="12">
        <v>0</v>
      </c>
      <c r="YR1" s="12">
        <v>0</v>
      </c>
      <c r="YS1" s="12">
        <v>156</v>
      </c>
      <c r="YT1" s="12">
        <v>189</v>
      </c>
      <c r="YU1" s="12">
        <v>223</v>
      </c>
      <c r="YV1" s="12">
        <v>0</v>
      </c>
      <c r="YW1" s="12">
        <v>33</v>
      </c>
      <c r="YX1" s="12">
        <v>67</v>
      </c>
      <c r="YY1" s="12">
        <v>100</v>
      </c>
      <c r="YZ1" s="12">
        <v>0</v>
      </c>
      <c r="ZA1" s="12">
        <v>0</v>
      </c>
      <c r="ZB1" s="12">
        <v>0</v>
      </c>
      <c r="ZC1" s="12">
        <v>0</v>
      </c>
      <c r="ZD1" s="12">
        <v>0</v>
      </c>
      <c r="ZE1" s="12">
        <v>0</v>
      </c>
      <c r="ZF1" s="12">
        <v>0</v>
      </c>
      <c r="ZG1" s="12">
        <v>0</v>
      </c>
      <c r="ZH1" s="12">
        <v>0</v>
      </c>
      <c r="ZI1" s="12">
        <v>0</v>
      </c>
      <c r="ZJ1" s="12">
        <v>0</v>
      </c>
      <c r="ZK1" s="12">
        <v>0</v>
      </c>
      <c r="ZL1" s="12">
        <v>0</v>
      </c>
      <c r="ZM1" s="12">
        <v>0</v>
      </c>
      <c r="ZN1" s="12">
        <v>0</v>
      </c>
      <c r="ZO1" s="12">
        <v>0</v>
      </c>
      <c r="ZP1" s="12">
        <v>0</v>
      </c>
      <c r="ZQ1" s="12">
        <v>0</v>
      </c>
      <c r="ZR1" s="12">
        <v>0</v>
      </c>
      <c r="ZS1" s="12">
        <v>0</v>
      </c>
      <c r="ZT1" s="12">
        <v>0</v>
      </c>
      <c r="ZU1" s="12">
        <v>0</v>
      </c>
      <c r="ZV1" s="12">
        <v>0</v>
      </c>
      <c r="ZW1" s="12">
        <v>0</v>
      </c>
      <c r="ZX1" s="12">
        <v>0</v>
      </c>
      <c r="ZY1" s="12">
        <v>0</v>
      </c>
      <c r="ZZ1" s="12">
        <v>0</v>
      </c>
      <c r="AAA1" s="12">
        <v>0</v>
      </c>
      <c r="AAB1" s="12">
        <v>0</v>
      </c>
      <c r="AAC1" s="12">
        <v>0</v>
      </c>
      <c r="AAD1" s="12">
        <v>0</v>
      </c>
      <c r="AAE1" s="12">
        <v>0</v>
      </c>
      <c r="AAF1" s="12">
        <v>0</v>
      </c>
      <c r="AAG1" s="12">
        <v>0</v>
      </c>
      <c r="AAH1" s="12">
        <v>0</v>
      </c>
      <c r="AAI1" s="12">
        <v>0</v>
      </c>
      <c r="AAJ1" s="12">
        <v>0</v>
      </c>
      <c r="AAK1" s="12">
        <v>0</v>
      </c>
      <c r="AAL1" s="12">
        <v>0</v>
      </c>
      <c r="AAM1" s="12">
        <v>0</v>
      </c>
      <c r="AAN1" s="12">
        <v>0</v>
      </c>
      <c r="AAO1" s="12">
        <v>0</v>
      </c>
      <c r="AAP1" s="12">
        <v>0</v>
      </c>
      <c r="AAQ1" s="12">
        <v>0</v>
      </c>
      <c r="AAR1" s="12">
        <v>0</v>
      </c>
      <c r="AAS1" s="12">
        <v>0</v>
      </c>
      <c r="AAT1" s="12">
        <v>0</v>
      </c>
      <c r="AAU1" s="12">
        <v>0</v>
      </c>
      <c r="AAV1" s="12">
        <v>0</v>
      </c>
      <c r="AAW1" s="12">
        <v>0</v>
      </c>
      <c r="AAX1" s="12">
        <v>0</v>
      </c>
      <c r="AAY1" s="12">
        <v>0</v>
      </c>
      <c r="AAZ1" s="12">
        <v>0</v>
      </c>
      <c r="ABA1" s="12">
        <v>0</v>
      </c>
      <c r="ABB1" s="12">
        <v>0</v>
      </c>
      <c r="ABC1" s="12">
        <v>0</v>
      </c>
      <c r="ABD1" s="12">
        <v>0</v>
      </c>
      <c r="ABE1" s="12">
        <v>0</v>
      </c>
      <c r="ABF1" s="12">
        <v>0</v>
      </c>
      <c r="ABG1" s="12">
        <v>0</v>
      </c>
      <c r="ABH1" s="12">
        <v>0</v>
      </c>
      <c r="ABI1" s="12">
        <v>0</v>
      </c>
      <c r="ABJ1" s="12">
        <v>0</v>
      </c>
      <c r="ABK1" s="12">
        <v>0</v>
      </c>
      <c r="ABL1" s="12">
        <v>0</v>
      </c>
      <c r="ABM1" s="12">
        <v>0</v>
      </c>
      <c r="ABN1" s="12">
        <v>0</v>
      </c>
      <c r="ABO1" s="12">
        <v>0</v>
      </c>
      <c r="ABP1" s="12">
        <v>0</v>
      </c>
      <c r="ABQ1" s="12">
        <v>0</v>
      </c>
      <c r="ABR1" s="12">
        <v>0</v>
      </c>
      <c r="ABS1" s="12">
        <v>0</v>
      </c>
      <c r="ABT1" s="12">
        <v>0</v>
      </c>
      <c r="ABU1" s="12">
        <v>0</v>
      </c>
      <c r="ABV1" s="12">
        <v>0</v>
      </c>
      <c r="ABW1" s="12">
        <v>0</v>
      </c>
      <c r="ABX1" s="12">
        <v>0</v>
      </c>
      <c r="ABY1" s="12">
        <v>0</v>
      </c>
      <c r="ABZ1" s="12">
        <v>0</v>
      </c>
      <c r="ACA1" s="12">
        <v>0</v>
      </c>
      <c r="ACB1" s="12">
        <v>0</v>
      </c>
      <c r="ACC1" s="12">
        <v>0</v>
      </c>
      <c r="ACD1" s="12">
        <v>0</v>
      </c>
      <c r="ACE1" s="12">
        <v>0</v>
      </c>
      <c r="ACF1" s="12">
        <v>0</v>
      </c>
      <c r="ACG1" s="12">
        <v>0</v>
      </c>
      <c r="ACH1" s="12">
        <v>0</v>
      </c>
      <c r="ACI1" s="12">
        <v>0</v>
      </c>
      <c r="ACJ1" s="12">
        <v>0</v>
      </c>
      <c r="ACK1" s="12">
        <v>0</v>
      </c>
      <c r="ACL1" s="12">
        <v>0</v>
      </c>
      <c r="ACM1" s="12">
        <v>0</v>
      </c>
      <c r="ACN1" s="12">
        <v>0</v>
      </c>
      <c r="ACO1" s="12">
        <v>0</v>
      </c>
      <c r="ACP1" s="12">
        <v>0</v>
      </c>
      <c r="ACQ1" s="12">
        <v>0</v>
      </c>
      <c r="ACR1" s="12">
        <v>0</v>
      </c>
      <c r="ACS1" s="12">
        <v>0</v>
      </c>
      <c r="ACT1" s="12">
        <v>0</v>
      </c>
      <c r="ACU1" s="12">
        <v>0</v>
      </c>
      <c r="ACV1" s="12">
        <v>0</v>
      </c>
      <c r="ACW1" s="12">
        <v>0</v>
      </c>
      <c r="ACX1" s="12">
        <v>0</v>
      </c>
      <c r="ACY1" s="12">
        <v>0</v>
      </c>
      <c r="ACZ1" s="12">
        <v>0</v>
      </c>
      <c r="ADA1" s="12">
        <v>0</v>
      </c>
      <c r="ADB1" s="12">
        <v>0</v>
      </c>
      <c r="ADC1" s="12">
        <v>0</v>
      </c>
      <c r="ADD1" s="12">
        <v>0</v>
      </c>
      <c r="ADE1" s="12">
        <v>0</v>
      </c>
      <c r="ADF1" s="12">
        <v>0</v>
      </c>
      <c r="ADG1" s="12">
        <v>0</v>
      </c>
      <c r="ADH1" s="12">
        <v>0</v>
      </c>
      <c r="ADI1" s="12">
        <v>0</v>
      </c>
      <c r="ADJ1" s="12">
        <v>0</v>
      </c>
      <c r="ADK1" s="12">
        <v>0</v>
      </c>
      <c r="ADL1" s="12">
        <v>0</v>
      </c>
      <c r="ADM1" s="12">
        <v>0</v>
      </c>
      <c r="ADN1" s="12">
        <v>0</v>
      </c>
      <c r="ADO1" s="12">
        <v>0</v>
      </c>
      <c r="ADP1" s="12">
        <v>0</v>
      </c>
      <c r="ADQ1" s="12">
        <v>0</v>
      </c>
      <c r="ADR1" s="12">
        <v>0</v>
      </c>
      <c r="ADS1" s="12">
        <v>0</v>
      </c>
      <c r="ADT1" s="12">
        <v>0</v>
      </c>
      <c r="ADU1" s="12">
        <v>0</v>
      </c>
      <c r="ADV1" s="12">
        <v>0</v>
      </c>
      <c r="ADW1" s="12">
        <v>0</v>
      </c>
      <c r="ADX1" s="12">
        <v>0</v>
      </c>
      <c r="ADY1" s="12">
        <v>0</v>
      </c>
      <c r="ADZ1" s="12">
        <v>0</v>
      </c>
      <c r="AEA1" s="12">
        <v>0</v>
      </c>
      <c r="AEB1" s="12">
        <v>0</v>
      </c>
      <c r="AEC1" s="12">
        <v>0</v>
      </c>
      <c r="AED1" s="12">
        <v>0</v>
      </c>
      <c r="AEE1" s="12">
        <v>0</v>
      </c>
      <c r="AEF1" s="12">
        <v>0</v>
      </c>
      <c r="AEG1" s="12">
        <v>0</v>
      </c>
      <c r="AEH1" s="12">
        <v>0</v>
      </c>
      <c r="AEI1" s="12">
        <v>0</v>
      </c>
      <c r="AEJ1" s="12">
        <v>0</v>
      </c>
      <c r="AEK1" s="12">
        <v>0</v>
      </c>
      <c r="AEL1" s="12">
        <v>0</v>
      </c>
      <c r="AEM1" s="12">
        <v>0</v>
      </c>
      <c r="AEN1" s="12">
        <v>0</v>
      </c>
      <c r="AEO1" s="12">
        <v>0</v>
      </c>
      <c r="AEP1" s="12">
        <v>0</v>
      </c>
      <c r="AEQ1" s="12">
        <v>0</v>
      </c>
      <c r="AER1" s="12">
        <v>0</v>
      </c>
      <c r="AES1" s="12">
        <v>0</v>
      </c>
      <c r="AET1" s="12">
        <v>0</v>
      </c>
      <c r="AEU1" s="12">
        <v>0</v>
      </c>
      <c r="AEV1" s="12">
        <v>0</v>
      </c>
      <c r="AEW1" s="12">
        <v>0</v>
      </c>
      <c r="AEX1" s="12">
        <v>0</v>
      </c>
      <c r="AEY1" s="12">
        <v>0</v>
      </c>
      <c r="AEZ1" s="12">
        <v>0</v>
      </c>
      <c r="AFA1" s="12">
        <v>0</v>
      </c>
      <c r="AFB1" s="12">
        <v>0</v>
      </c>
      <c r="AFC1" s="12">
        <v>0</v>
      </c>
      <c r="AFD1" s="12">
        <v>0</v>
      </c>
      <c r="AFE1" s="12">
        <v>0</v>
      </c>
      <c r="AFF1" s="12">
        <v>0</v>
      </c>
      <c r="AFG1" s="12">
        <v>0</v>
      </c>
      <c r="AFH1" s="12">
        <v>0</v>
      </c>
      <c r="AFI1" s="12">
        <v>0</v>
      </c>
      <c r="AFJ1" s="12">
        <v>0</v>
      </c>
      <c r="AFK1" s="12">
        <v>0</v>
      </c>
      <c r="AFL1" s="12">
        <v>0</v>
      </c>
      <c r="AFM1" s="12">
        <v>0</v>
      </c>
      <c r="AFN1" s="12">
        <v>0</v>
      </c>
      <c r="AFO1" s="12">
        <v>0</v>
      </c>
      <c r="AFP1" s="12">
        <v>0</v>
      </c>
      <c r="AFQ1" s="12">
        <v>0</v>
      </c>
      <c r="AFR1" s="12">
        <v>0</v>
      </c>
      <c r="AFS1" s="12">
        <v>0</v>
      </c>
      <c r="AFT1" s="12">
        <v>0</v>
      </c>
      <c r="AFU1" s="12">
        <v>0</v>
      </c>
      <c r="AFV1" s="12">
        <v>0</v>
      </c>
      <c r="AFW1" s="12">
        <v>0</v>
      </c>
      <c r="AFX1" s="12">
        <v>0</v>
      </c>
      <c r="AFY1" s="12">
        <v>0</v>
      </c>
      <c r="AFZ1" s="12">
        <v>0</v>
      </c>
      <c r="AGA1" s="12">
        <v>0</v>
      </c>
      <c r="AGB1" s="12">
        <v>0</v>
      </c>
      <c r="AGC1" s="12">
        <v>0</v>
      </c>
      <c r="AGD1" s="12">
        <v>0</v>
      </c>
      <c r="AGE1" s="12">
        <v>0</v>
      </c>
      <c r="AGF1" s="12">
        <v>0</v>
      </c>
      <c r="AGG1" s="12">
        <v>0</v>
      </c>
      <c r="AGH1" s="12">
        <v>0</v>
      </c>
      <c r="AGI1" s="12">
        <v>0</v>
      </c>
      <c r="AGJ1" s="12">
        <v>0</v>
      </c>
      <c r="AGK1" s="12">
        <v>0</v>
      </c>
      <c r="AGL1" s="12">
        <v>0</v>
      </c>
      <c r="AGM1" s="12">
        <v>0</v>
      </c>
      <c r="AGN1" s="12">
        <v>0</v>
      </c>
      <c r="AGO1" s="12">
        <v>0</v>
      </c>
      <c r="AGP1" s="12">
        <v>0</v>
      </c>
      <c r="AGQ1" s="12">
        <v>0</v>
      </c>
      <c r="AGR1" s="12">
        <v>0</v>
      </c>
      <c r="AGS1" s="12">
        <v>0</v>
      </c>
      <c r="AGT1" s="12">
        <v>0</v>
      </c>
      <c r="AGU1" s="12">
        <v>0</v>
      </c>
      <c r="AGV1" s="12">
        <v>0</v>
      </c>
      <c r="AGW1" s="12">
        <v>0</v>
      </c>
      <c r="AGX1" s="12">
        <v>0</v>
      </c>
      <c r="AGY1" s="12">
        <v>0</v>
      </c>
      <c r="AGZ1" s="12">
        <v>0</v>
      </c>
      <c r="AHA1" s="12">
        <v>0</v>
      </c>
      <c r="AHB1" s="12">
        <v>0</v>
      </c>
      <c r="AHC1" s="12">
        <v>0</v>
      </c>
      <c r="AHD1" s="12">
        <v>0</v>
      </c>
      <c r="AHE1" s="12">
        <v>0</v>
      </c>
      <c r="AHF1" s="12">
        <v>0</v>
      </c>
      <c r="AHG1" s="12">
        <v>0</v>
      </c>
      <c r="AHH1" s="12">
        <v>0</v>
      </c>
      <c r="AHI1" s="12">
        <v>0</v>
      </c>
      <c r="AHJ1" s="12">
        <v>0</v>
      </c>
      <c r="AHK1" s="12">
        <v>0</v>
      </c>
      <c r="AHL1" s="12">
        <v>0</v>
      </c>
      <c r="AHM1" s="12">
        <v>0</v>
      </c>
      <c r="AHN1" s="12">
        <v>0</v>
      </c>
      <c r="AHO1" s="12">
        <v>0</v>
      </c>
      <c r="AHP1" s="12">
        <v>0</v>
      </c>
      <c r="AHQ1" s="12">
        <v>0</v>
      </c>
      <c r="AHR1" s="12">
        <v>0</v>
      </c>
      <c r="AHS1" s="12">
        <v>0</v>
      </c>
      <c r="AHT1" s="12">
        <v>0</v>
      </c>
      <c r="AHU1" s="12">
        <v>0</v>
      </c>
      <c r="AHV1" s="12">
        <v>0</v>
      </c>
      <c r="AHW1" s="12">
        <v>0</v>
      </c>
      <c r="AHX1" s="12">
        <v>0</v>
      </c>
      <c r="AHY1" s="12">
        <v>0</v>
      </c>
      <c r="AHZ1" s="12">
        <v>0</v>
      </c>
      <c r="AIA1" s="12">
        <v>0</v>
      </c>
      <c r="AIB1" s="12">
        <v>0</v>
      </c>
      <c r="AIC1" s="12">
        <v>0</v>
      </c>
      <c r="AID1" s="12">
        <v>0</v>
      </c>
      <c r="AIE1" s="12">
        <v>0</v>
      </c>
      <c r="AIF1" s="12">
        <v>0</v>
      </c>
      <c r="AIG1" s="12">
        <v>0</v>
      </c>
      <c r="AIH1" s="12">
        <v>0</v>
      </c>
      <c r="AII1" s="12">
        <v>0</v>
      </c>
      <c r="AIJ1" s="12">
        <v>0</v>
      </c>
      <c r="AIK1" s="12">
        <v>0</v>
      </c>
      <c r="AIL1" s="12">
        <v>0</v>
      </c>
      <c r="AIM1" s="12">
        <v>0</v>
      </c>
      <c r="AIN1" s="12">
        <v>0</v>
      </c>
      <c r="AIO1" s="12">
        <v>0</v>
      </c>
      <c r="AIP1" s="12">
        <v>0</v>
      </c>
      <c r="AIQ1" s="12">
        <v>0</v>
      </c>
      <c r="AIR1" s="12">
        <v>0</v>
      </c>
      <c r="AIS1" s="12">
        <v>0</v>
      </c>
      <c r="AIT1" s="12">
        <v>0</v>
      </c>
      <c r="AIU1" s="12">
        <v>0</v>
      </c>
      <c r="AIV1" s="12">
        <v>0</v>
      </c>
      <c r="AIW1" s="12">
        <v>0</v>
      </c>
      <c r="AIX1" s="12">
        <v>0</v>
      </c>
      <c r="AIY1" s="12">
        <v>0</v>
      </c>
      <c r="AIZ1" s="12">
        <v>0</v>
      </c>
      <c r="AJA1" s="12">
        <v>0</v>
      </c>
      <c r="AJB1" s="12">
        <v>0</v>
      </c>
      <c r="AJC1" s="12">
        <v>0</v>
      </c>
      <c r="AJD1" s="12">
        <v>0</v>
      </c>
      <c r="AJE1" s="12">
        <v>0</v>
      </c>
      <c r="AJF1" s="12">
        <v>0</v>
      </c>
      <c r="AJG1" s="12">
        <v>0</v>
      </c>
      <c r="AJH1" s="12">
        <v>0</v>
      </c>
      <c r="AJI1" s="12">
        <v>0</v>
      </c>
      <c r="AJJ1" s="12">
        <v>0</v>
      </c>
      <c r="AJK1" s="12">
        <v>0</v>
      </c>
      <c r="AJL1" s="12">
        <v>0</v>
      </c>
      <c r="AJM1" s="12">
        <v>0</v>
      </c>
      <c r="AJN1" s="12">
        <v>0</v>
      </c>
      <c r="AJO1" s="12">
        <v>0</v>
      </c>
      <c r="AJP1" s="12">
        <v>0</v>
      </c>
      <c r="AJQ1" s="12">
        <v>0</v>
      </c>
      <c r="AJR1" s="12">
        <v>0</v>
      </c>
      <c r="AJS1" s="12">
        <v>0</v>
      </c>
      <c r="AJT1" s="12">
        <v>0</v>
      </c>
      <c r="AJU1" s="12">
        <v>0</v>
      </c>
      <c r="AJV1" s="12">
        <v>0</v>
      </c>
      <c r="AJW1" s="12">
        <v>0</v>
      </c>
      <c r="AJX1" s="12">
        <v>0</v>
      </c>
      <c r="AJY1" s="12">
        <v>0</v>
      </c>
      <c r="AJZ1" s="12">
        <v>0</v>
      </c>
      <c r="AKA1" s="12">
        <v>0</v>
      </c>
      <c r="AKB1" s="12">
        <v>0</v>
      </c>
      <c r="AKC1" s="12">
        <v>0</v>
      </c>
      <c r="AKD1" s="12">
        <v>0</v>
      </c>
      <c r="AKE1" s="12">
        <v>0</v>
      </c>
      <c r="AKF1" s="12">
        <v>0</v>
      </c>
      <c r="AKG1" s="12">
        <v>0</v>
      </c>
      <c r="AKH1" s="12">
        <v>0</v>
      </c>
      <c r="AKI1" s="12">
        <v>0</v>
      </c>
      <c r="AKJ1" s="12">
        <v>0</v>
      </c>
      <c r="AKK1" s="12">
        <v>0</v>
      </c>
      <c r="AKL1" s="12">
        <v>0</v>
      </c>
      <c r="AKM1" s="12">
        <v>0</v>
      </c>
      <c r="AKN1" s="12">
        <v>0</v>
      </c>
      <c r="AKO1" s="12">
        <v>0</v>
      </c>
      <c r="AKP1" s="12">
        <v>0</v>
      </c>
      <c r="AKQ1" s="12">
        <v>0</v>
      </c>
      <c r="AKR1" s="12">
        <v>0</v>
      </c>
      <c r="AKS1" s="12">
        <v>0</v>
      </c>
      <c r="AKT1" s="12">
        <v>0</v>
      </c>
      <c r="AKU1" s="12">
        <v>0</v>
      </c>
      <c r="AKV1" s="12">
        <v>0</v>
      </c>
      <c r="AKW1" s="12">
        <v>0</v>
      </c>
      <c r="AKX1" s="12">
        <v>0</v>
      </c>
      <c r="AKY1" s="12">
        <v>0</v>
      </c>
      <c r="AKZ1" s="12">
        <v>0</v>
      </c>
      <c r="ALA1" s="12">
        <v>0</v>
      </c>
      <c r="ALB1" s="12">
        <v>0</v>
      </c>
      <c r="ALC1" s="12">
        <v>0</v>
      </c>
      <c r="ALD1" s="12">
        <v>0</v>
      </c>
      <c r="ALE1" s="12">
        <v>0</v>
      </c>
      <c r="ALF1" s="12">
        <v>0</v>
      </c>
      <c r="ALG1" s="12">
        <v>0</v>
      </c>
      <c r="ALH1" s="12">
        <v>0</v>
      </c>
      <c r="ALI1" s="12">
        <v>0</v>
      </c>
      <c r="ALJ1" s="12">
        <v>0</v>
      </c>
      <c r="ALK1" s="12">
        <v>0</v>
      </c>
      <c r="ALL1" s="12">
        <v>0</v>
      </c>
      <c r="ALM1" s="12">
        <v>0</v>
      </c>
      <c r="ALN1" s="12">
        <v>0</v>
      </c>
      <c r="ALO1" s="12">
        <v>0</v>
      </c>
      <c r="ALP1" s="12">
        <v>0</v>
      </c>
      <c r="ALQ1" s="12">
        <v>0</v>
      </c>
      <c r="ALR1" s="12">
        <v>0</v>
      </c>
      <c r="ALS1" s="12">
        <v>0</v>
      </c>
      <c r="ALT1" s="12">
        <v>0</v>
      </c>
      <c r="ALU1" s="12">
        <v>0</v>
      </c>
      <c r="ALV1" s="12">
        <v>0</v>
      </c>
      <c r="ALW1" s="12">
        <v>0</v>
      </c>
      <c r="ALX1" s="12">
        <v>0</v>
      </c>
      <c r="ALY1" s="12">
        <v>0</v>
      </c>
      <c r="ALZ1" s="12">
        <v>0</v>
      </c>
      <c r="AMA1" s="12">
        <v>0</v>
      </c>
      <c r="AMB1" s="12">
        <v>0</v>
      </c>
      <c r="AMC1" s="12">
        <v>0</v>
      </c>
      <c r="AMD1" s="12">
        <v>0</v>
      </c>
      <c r="AME1" s="12">
        <v>0</v>
      </c>
      <c r="AMF1" s="12">
        <v>0</v>
      </c>
      <c r="AMG1" s="12">
        <v>0</v>
      </c>
      <c r="AMH1" s="12">
        <v>0</v>
      </c>
      <c r="AMI1" s="12">
        <v>0</v>
      </c>
      <c r="AMJ1" s="12">
        <v>0</v>
      </c>
      <c r="AMK1" s="12">
        <v>0</v>
      </c>
      <c r="AML1" s="12">
        <v>0</v>
      </c>
      <c r="AMM1" s="12">
        <v>0</v>
      </c>
      <c r="AMN1" s="12">
        <v>0</v>
      </c>
      <c r="AMO1" s="12">
        <v>0</v>
      </c>
      <c r="AMP1" s="12">
        <v>0</v>
      </c>
      <c r="AMQ1" s="12">
        <v>0</v>
      </c>
      <c r="AMR1" s="12">
        <v>0</v>
      </c>
      <c r="AMS1" s="12">
        <v>0</v>
      </c>
      <c r="AMT1" s="12">
        <v>0</v>
      </c>
      <c r="AMU1" s="12">
        <v>0</v>
      </c>
      <c r="AMV1" s="12">
        <v>0</v>
      </c>
      <c r="AMW1" s="12">
        <v>0</v>
      </c>
      <c r="AMX1" s="12">
        <v>0</v>
      </c>
      <c r="AMY1" s="12">
        <v>0</v>
      </c>
      <c r="AMZ1" s="12">
        <v>0</v>
      </c>
      <c r="ANA1" s="12">
        <v>0</v>
      </c>
      <c r="ANB1" s="12">
        <v>0</v>
      </c>
      <c r="ANC1" s="12">
        <v>0</v>
      </c>
      <c r="AND1" s="12">
        <v>0</v>
      </c>
      <c r="ANE1" s="12">
        <v>0</v>
      </c>
      <c r="ANF1" s="12">
        <v>0</v>
      </c>
      <c r="ANG1" s="12">
        <v>0</v>
      </c>
      <c r="ANH1" s="12">
        <v>0</v>
      </c>
      <c r="ANI1" s="12">
        <v>0</v>
      </c>
      <c r="ANJ1" s="12">
        <v>0</v>
      </c>
      <c r="ANK1" s="12">
        <v>0</v>
      </c>
      <c r="ANL1" s="12">
        <v>0</v>
      </c>
      <c r="ANM1" s="12">
        <v>0</v>
      </c>
      <c r="ANN1" s="12">
        <v>0</v>
      </c>
      <c r="ANO1" s="12">
        <v>0</v>
      </c>
      <c r="ANP1" s="12">
        <v>0</v>
      </c>
      <c r="ANQ1" s="12">
        <v>0</v>
      </c>
      <c r="ANR1" s="12">
        <v>0</v>
      </c>
      <c r="ANS1" s="12">
        <v>0</v>
      </c>
      <c r="ANT1" s="12">
        <v>0</v>
      </c>
      <c r="ANU1" s="12">
        <v>0</v>
      </c>
      <c r="ANV1" s="12">
        <v>0</v>
      </c>
      <c r="ANW1" s="12">
        <v>0</v>
      </c>
      <c r="ANX1" s="12">
        <v>0</v>
      </c>
      <c r="ANY1" s="12">
        <v>0</v>
      </c>
      <c r="ANZ1" s="12">
        <v>0</v>
      </c>
      <c r="AOA1" s="12">
        <v>0</v>
      </c>
      <c r="AOB1" s="12">
        <v>0</v>
      </c>
      <c r="AOC1" s="12">
        <v>0</v>
      </c>
      <c r="AOD1" s="12">
        <v>0</v>
      </c>
      <c r="AOE1" s="12">
        <v>0</v>
      </c>
      <c r="AOF1" s="12">
        <v>0</v>
      </c>
      <c r="AOG1" s="12">
        <v>0</v>
      </c>
      <c r="AOH1" s="12">
        <v>0</v>
      </c>
      <c r="AOI1" s="12">
        <v>0</v>
      </c>
      <c r="AOJ1" s="12">
        <v>0</v>
      </c>
      <c r="AOK1" s="12">
        <v>0</v>
      </c>
      <c r="AOL1" s="12">
        <v>0</v>
      </c>
      <c r="AOM1" s="12">
        <v>0</v>
      </c>
      <c r="AON1" s="12">
        <v>0</v>
      </c>
      <c r="AOO1" s="12">
        <v>0</v>
      </c>
      <c r="AOP1" s="12">
        <v>0</v>
      </c>
      <c r="AOQ1" s="12">
        <v>0</v>
      </c>
      <c r="AOR1" s="12">
        <v>0</v>
      </c>
      <c r="AOS1" s="12">
        <v>0</v>
      </c>
      <c r="AOT1" s="12">
        <v>0</v>
      </c>
      <c r="AOU1" s="12">
        <v>0</v>
      </c>
      <c r="AOV1" s="12">
        <v>0</v>
      </c>
      <c r="AOW1" s="12">
        <v>0</v>
      </c>
      <c r="AOX1" s="12">
        <v>0</v>
      </c>
      <c r="AOY1" s="12">
        <v>0</v>
      </c>
      <c r="AOZ1" s="12">
        <v>0</v>
      </c>
      <c r="APA1" s="12">
        <v>0</v>
      </c>
      <c r="APB1" s="12">
        <v>0</v>
      </c>
      <c r="APC1" s="12">
        <v>0</v>
      </c>
      <c r="APD1" s="12">
        <v>0</v>
      </c>
      <c r="APE1" s="12">
        <v>0</v>
      </c>
      <c r="APF1" s="12">
        <v>0</v>
      </c>
      <c r="APG1" s="12">
        <v>0</v>
      </c>
      <c r="APH1" s="12">
        <v>0</v>
      </c>
      <c r="API1" s="12">
        <v>0</v>
      </c>
      <c r="APJ1" s="12">
        <v>0</v>
      </c>
      <c r="APK1" s="12">
        <v>0</v>
      </c>
      <c r="APL1" s="12">
        <v>0</v>
      </c>
      <c r="APM1" s="12">
        <v>0</v>
      </c>
      <c r="APN1" s="12">
        <v>0</v>
      </c>
      <c r="APO1" s="12">
        <v>0</v>
      </c>
      <c r="APP1" s="12">
        <v>0</v>
      </c>
      <c r="APQ1" s="12">
        <v>0</v>
      </c>
      <c r="APR1" s="12">
        <v>0</v>
      </c>
      <c r="APS1" s="12">
        <v>0</v>
      </c>
      <c r="APT1" s="12">
        <v>0</v>
      </c>
      <c r="APU1" s="12">
        <v>0</v>
      </c>
      <c r="APV1" s="12">
        <v>0</v>
      </c>
      <c r="APW1" s="12">
        <v>0</v>
      </c>
      <c r="APX1" s="12">
        <v>0</v>
      </c>
      <c r="APY1" s="12">
        <v>0</v>
      </c>
      <c r="APZ1" s="12">
        <v>0</v>
      </c>
      <c r="AQA1" s="12">
        <v>0</v>
      </c>
      <c r="AQB1" s="12">
        <v>0</v>
      </c>
      <c r="AQC1" s="12">
        <v>0</v>
      </c>
      <c r="AQD1" s="12">
        <v>0</v>
      </c>
      <c r="AQE1" s="12">
        <v>0</v>
      </c>
      <c r="AQF1" s="12">
        <v>0</v>
      </c>
      <c r="AQG1" s="12">
        <v>0</v>
      </c>
      <c r="AQH1" s="12">
        <v>0</v>
      </c>
      <c r="AQI1" s="12">
        <v>0</v>
      </c>
      <c r="AQJ1" s="12">
        <v>0</v>
      </c>
      <c r="AQK1" s="12">
        <v>0</v>
      </c>
      <c r="AQL1" s="12">
        <v>0</v>
      </c>
      <c r="AQM1" s="12">
        <v>0</v>
      </c>
      <c r="AQN1" s="12">
        <v>0</v>
      </c>
      <c r="AQO1" s="12">
        <v>0</v>
      </c>
      <c r="AQP1" s="12">
        <v>0</v>
      </c>
      <c r="AQQ1" s="12">
        <v>0</v>
      </c>
      <c r="AQR1" s="12">
        <v>0</v>
      </c>
      <c r="AQS1" s="12">
        <v>0</v>
      </c>
      <c r="AQT1" s="12">
        <v>0</v>
      </c>
      <c r="AQU1" s="12">
        <v>0</v>
      </c>
      <c r="AQV1" s="12">
        <v>0</v>
      </c>
      <c r="AQW1" s="12">
        <v>0</v>
      </c>
      <c r="AQX1" s="12">
        <v>0</v>
      </c>
      <c r="AQY1" s="12">
        <v>0</v>
      </c>
      <c r="AQZ1" s="12">
        <v>0</v>
      </c>
      <c r="ARA1" s="12">
        <v>0</v>
      </c>
      <c r="ARB1" s="12">
        <v>0</v>
      </c>
      <c r="ARC1" s="12">
        <v>0</v>
      </c>
      <c r="ARD1" s="12">
        <v>0</v>
      </c>
      <c r="ARE1" s="12">
        <v>0</v>
      </c>
      <c r="ARF1" s="12">
        <v>0</v>
      </c>
      <c r="ARG1" s="12">
        <v>0</v>
      </c>
      <c r="ARH1" s="12">
        <v>0</v>
      </c>
      <c r="ARI1" s="12">
        <v>0</v>
      </c>
      <c r="ARJ1" s="12">
        <v>0</v>
      </c>
      <c r="ARK1" s="12">
        <v>0</v>
      </c>
      <c r="ARL1" s="12">
        <v>0</v>
      </c>
      <c r="ARM1" s="12">
        <v>0</v>
      </c>
      <c r="ARN1" s="12">
        <v>0</v>
      </c>
      <c r="ARO1" s="12">
        <v>0</v>
      </c>
      <c r="ARP1" s="12">
        <v>0</v>
      </c>
      <c r="ARQ1" s="12">
        <v>0</v>
      </c>
      <c r="ARR1" s="12">
        <v>0</v>
      </c>
      <c r="ARS1" s="12">
        <v>0</v>
      </c>
      <c r="ART1" s="12">
        <v>0</v>
      </c>
      <c r="ARU1" s="12">
        <v>0</v>
      </c>
      <c r="ARV1" s="12">
        <v>0</v>
      </c>
      <c r="ARW1" s="12">
        <v>0</v>
      </c>
      <c r="ARX1" s="12">
        <v>0</v>
      </c>
      <c r="ARY1" s="12">
        <v>0</v>
      </c>
      <c r="ARZ1" s="12">
        <v>0</v>
      </c>
      <c r="ASA1" s="12">
        <v>0</v>
      </c>
      <c r="ASB1" s="12">
        <v>0</v>
      </c>
      <c r="ASC1" s="12">
        <v>0</v>
      </c>
      <c r="ASD1" s="12">
        <v>0</v>
      </c>
      <c r="ASE1" s="12">
        <v>0</v>
      </c>
      <c r="ASF1" s="12">
        <v>0</v>
      </c>
      <c r="ASG1" s="12">
        <v>0</v>
      </c>
      <c r="ASH1" s="12">
        <v>0</v>
      </c>
      <c r="ASI1" s="12">
        <v>0</v>
      </c>
      <c r="ASJ1" s="12">
        <v>0</v>
      </c>
      <c r="ASK1" s="12">
        <v>0</v>
      </c>
      <c r="ASL1" s="12">
        <v>0</v>
      </c>
      <c r="ASM1" s="12">
        <v>0</v>
      </c>
      <c r="ASN1" s="12">
        <v>0</v>
      </c>
      <c r="ASO1" s="12">
        <v>0</v>
      </c>
      <c r="ASP1" s="12">
        <v>0</v>
      </c>
      <c r="ASQ1" s="12">
        <v>0</v>
      </c>
      <c r="ASR1" s="12">
        <v>0</v>
      </c>
      <c r="ASS1" s="12">
        <v>0</v>
      </c>
      <c r="AST1" s="12">
        <v>0</v>
      </c>
      <c r="ASU1" s="12">
        <v>0</v>
      </c>
      <c r="ASV1" s="12">
        <v>0</v>
      </c>
      <c r="ASW1" s="12">
        <v>0</v>
      </c>
      <c r="ASX1" s="12">
        <v>0</v>
      </c>
      <c r="ASY1" s="12">
        <v>0</v>
      </c>
      <c r="ASZ1" s="12">
        <v>0</v>
      </c>
      <c r="ATA1" s="12">
        <v>0</v>
      </c>
      <c r="ATB1" s="12">
        <v>0</v>
      </c>
      <c r="ATC1" s="12">
        <v>0</v>
      </c>
      <c r="ATD1" s="12">
        <v>0</v>
      </c>
      <c r="ATE1" s="12">
        <v>0</v>
      </c>
      <c r="ATF1" s="12">
        <v>0</v>
      </c>
      <c r="ATG1" s="12">
        <v>0</v>
      </c>
      <c r="ATH1" s="12">
        <v>0</v>
      </c>
      <c r="ATI1" s="12">
        <v>0</v>
      </c>
      <c r="ATJ1" s="12">
        <v>0</v>
      </c>
      <c r="ATK1" s="12">
        <v>0</v>
      </c>
      <c r="ATL1" s="12">
        <v>0</v>
      </c>
      <c r="ATM1" s="12">
        <v>0</v>
      </c>
      <c r="ATN1" s="12">
        <v>0</v>
      </c>
      <c r="ATO1" s="12">
        <v>0</v>
      </c>
      <c r="ATP1" s="12">
        <v>0</v>
      </c>
      <c r="ATQ1" s="12">
        <v>0</v>
      </c>
      <c r="ATR1" s="12">
        <v>0</v>
      </c>
      <c r="ATS1" s="12">
        <v>0</v>
      </c>
      <c r="ATT1" s="12">
        <v>0</v>
      </c>
      <c r="ATU1" s="12">
        <v>0</v>
      </c>
      <c r="ATV1" s="12">
        <v>0</v>
      </c>
      <c r="ATW1" s="12">
        <v>0</v>
      </c>
      <c r="ATX1" s="12">
        <v>0</v>
      </c>
      <c r="ATY1" s="12">
        <v>0</v>
      </c>
      <c r="ATZ1" s="12">
        <v>0</v>
      </c>
      <c r="AUA1" s="12">
        <v>0</v>
      </c>
      <c r="AUB1" s="12">
        <v>0</v>
      </c>
      <c r="AUC1" s="12">
        <v>0</v>
      </c>
      <c r="AUD1" s="12">
        <v>0</v>
      </c>
      <c r="AUE1" s="12">
        <v>0</v>
      </c>
      <c r="AUF1" s="12">
        <v>0</v>
      </c>
      <c r="AUG1" s="12">
        <v>0</v>
      </c>
      <c r="AUH1" s="12">
        <v>0</v>
      </c>
      <c r="AUI1" s="12">
        <v>0</v>
      </c>
      <c r="AUJ1" s="12">
        <v>0</v>
      </c>
      <c r="AUK1" s="12">
        <v>0</v>
      </c>
      <c r="AUL1" s="12">
        <v>0</v>
      </c>
      <c r="AUM1" s="12">
        <v>0</v>
      </c>
      <c r="AUN1" s="12">
        <v>0</v>
      </c>
      <c r="AUO1" s="12">
        <v>0</v>
      </c>
      <c r="AUP1" s="12">
        <v>0</v>
      </c>
      <c r="AUQ1" s="12">
        <v>0</v>
      </c>
      <c r="AUR1" s="12">
        <v>0</v>
      </c>
      <c r="AUS1" s="12">
        <v>0</v>
      </c>
      <c r="AUT1" s="12">
        <v>0</v>
      </c>
      <c r="AUU1" s="12">
        <v>0</v>
      </c>
      <c r="AUV1" s="12">
        <v>0</v>
      </c>
      <c r="AUW1" s="12">
        <v>0</v>
      </c>
      <c r="AUX1" s="12">
        <v>0</v>
      </c>
      <c r="AUY1" s="12">
        <v>0</v>
      </c>
      <c r="AUZ1" s="12">
        <v>0</v>
      </c>
      <c r="AVA1" s="12">
        <v>0</v>
      </c>
      <c r="AVB1" s="12">
        <v>0</v>
      </c>
      <c r="AVC1" s="12">
        <v>0</v>
      </c>
      <c r="AVD1" s="12">
        <v>0</v>
      </c>
      <c r="AVE1" s="12">
        <v>0</v>
      </c>
      <c r="AVF1" s="12">
        <v>0</v>
      </c>
      <c r="AVG1" s="12">
        <v>0</v>
      </c>
      <c r="AVH1" s="12">
        <v>0</v>
      </c>
      <c r="AVI1" s="12">
        <v>0</v>
      </c>
      <c r="AVJ1" s="12">
        <v>0</v>
      </c>
      <c r="AVK1" s="12">
        <v>0</v>
      </c>
      <c r="AVL1" s="12">
        <v>0</v>
      </c>
      <c r="AVM1" s="12">
        <v>0</v>
      </c>
      <c r="AVN1" s="12">
        <v>0</v>
      </c>
      <c r="AVO1" s="12">
        <v>0</v>
      </c>
      <c r="AVP1" s="12">
        <v>0</v>
      </c>
      <c r="AVQ1" s="12">
        <v>0</v>
      </c>
      <c r="AVR1" s="12">
        <v>0</v>
      </c>
      <c r="AVS1" s="12">
        <v>0</v>
      </c>
      <c r="AVT1" s="12">
        <v>0</v>
      </c>
      <c r="AVU1" s="12">
        <v>0</v>
      </c>
      <c r="AVV1" s="12">
        <v>0</v>
      </c>
      <c r="AVW1" s="12">
        <v>0</v>
      </c>
      <c r="AVX1" s="12">
        <v>0</v>
      </c>
      <c r="AVY1" s="12">
        <v>0</v>
      </c>
      <c r="AVZ1" s="12">
        <v>0</v>
      </c>
      <c r="AWA1" s="12">
        <v>0</v>
      </c>
      <c r="AWB1" s="12">
        <v>0</v>
      </c>
      <c r="AWC1" s="12">
        <v>0</v>
      </c>
      <c r="AWD1" s="12">
        <v>0</v>
      </c>
      <c r="AWE1" s="12">
        <v>0</v>
      </c>
      <c r="AWF1" s="12">
        <v>0</v>
      </c>
      <c r="AWG1" s="12">
        <v>0</v>
      </c>
      <c r="AWH1" s="12">
        <v>0</v>
      </c>
      <c r="AWI1" s="12">
        <v>0</v>
      </c>
      <c r="AWJ1" s="12">
        <v>0</v>
      </c>
      <c r="AWK1" s="12">
        <v>0</v>
      </c>
      <c r="AWL1" s="12">
        <v>0</v>
      </c>
      <c r="AWM1" s="12">
        <v>0</v>
      </c>
      <c r="AWN1" s="12">
        <v>0</v>
      </c>
      <c r="AWO1" s="12">
        <v>0</v>
      </c>
      <c r="AWP1" s="12">
        <v>0</v>
      </c>
      <c r="AWQ1" s="12">
        <v>0</v>
      </c>
      <c r="AWR1" s="12">
        <v>0</v>
      </c>
      <c r="AWS1" s="12">
        <v>0</v>
      </c>
      <c r="AWT1" s="12">
        <v>0</v>
      </c>
      <c r="AWU1" s="12">
        <v>0</v>
      </c>
      <c r="AWV1" s="12">
        <v>0</v>
      </c>
      <c r="AWW1" s="12">
        <v>0</v>
      </c>
      <c r="AWX1" s="12">
        <v>0</v>
      </c>
      <c r="AWY1" s="12">
        <v>0</v>
      </c>
      <c r="AWZ1" s="12">
        <v>0</v>
      </c>
      <c r="AXA1" s="12">
        <v>0</v>
      </c>
      <c r="AXB1" s="12">
        <v>0</v>
      </c>
      <c r="AXC1" s="12">
        <v>0</v>
      </c>
      <c r="AXD1" s="12">
        <v>0</v>
      </c>
      <c r="AXE1" s="12">
        <v>0</v>
      </c>
      <c r="AXF1" s="12">
        <v>0</v>
      </c>
      <c r="AXG1" s="12">
        <v>0</v>
      </c>
      <c r="AXH1" s="12">
        <v>0</v>
      </c>
      <c r="AXI1" s="12">
        <v>0</v>
      </c>
      <c r="AXJ1" s="12">
        <v>0</v>
      </c>
      <c r="AXK1" s="12">
        <v>0</v>
      </c>
      <c r="AXL1" s="12">
        <v>0</v>
      </c>
      <c r="AXM1" s="12">
        <v>0</v>
      </c>
      <c r="AXN1" s="12">
        <v>0</v>
      </c>
      <c r="AXO1" s="12">
        <v>0</v>
      </c>
      <c r="AXP1" s="12">
        <v>0</v>
      </c>
      <c r="AXQ1" s="12">
        <v>0</v>
      </c>
      <c r="AXR1" s="12">
        <v>0</v>
      </c>
      <c r="AXS1" s="12">
        <v>0</v>
      </c>
      <c r="AXT1" s="12">
        <v>0</v>
      </c>
      <c r="AXU1" s="12">
        <v>0</v>
      </c>
      <c r="AXV1" s="12">
        <v>0</v>
      </c>
      <c r="AXW1" s="12">
        <v>0</v>
      </c>
      <c r="AXX1" s="12">
        <v>0</v>
      </c>
      <c r="AXY1" s="12">
        <v>0</v>
      </c>
      <c r="AXZ1" s="12">
        <v>0</v>
      </c>
      <c r="AYA1" s="12">
        <v>0</v>
      </c>
      <c r="AYB1" s="12">
        <v>0</v>
      </c>
      <c r="AYC1" s="12">
        <v>0</v>
      </c>
      <c r="AYD1" s="12">
        <v>0</v>
      </c>
      <c r="AYE1" s="12">
        <v>0</v>
      </c>
      <c r="AYF1" s="12">
        <v>0</v>
      </c>
      <c r="AYG1" s="12">
        <v>0</v>
      </c>
      <c r="AYH1" s="12">
        <v>0</v>
      </c>
      <c r="AYI1" s="12">
        <v>0</v>
      </c>
      <c r="AYJ1" s="12">
        <v>0</v>
      </c>
      <c r="AYK1" s="12">
        <v>0</v>
      </c>
      <c r="AYL1" s="12">
        <v>0</v>
      </c>
      <c r="AYM1" s="12">
        <v>0</v>
      </c>
      <c r="AYN1" s="12">
        <v>0</v>
      </c>
      <c r="AYO1" s="12">
        <v>0</v>
      </c>
      <c r="AYP1" s="12">
        <v>0</v>
      </c>
      <c r="AYQ1" s="12">
        <v>0</v>
      </c>
      <c r="AYR1" s="12">
        <v>0</v>
      </c>
      <c r="AYS1" s="12">
        <v>0</v>
      </c>
      <c r="AYT1" s="12">
        <v>0</v>
      </c>
      <c r="AYU1" s="12">
        <v>0</v>
      </c>
      <c r="AYV1" s="12">
        <v>0</v>
      </c>
      <c r="AYW1" s="12">
        <v>0</v>
      </c>
      <c r="AYX1" s="12">
        <v>0</v>
      </c>
      <c r="AYY1" s="12">
        <v>0</v>
      </c>
      <c r="AYZ1" s="12">
        <v>0</v>
      </c>
      <c r="AZA1" s="12">
        <v>0</v>
      </c>
      <c r="AZB1" s="12">
        <v>0</v>
      </c>
      <c r="AZC1" s="12">
        <v>0</v>
      </c>
      <c r="AZD1" s="12">
        <v>0</v>
      </c>
      <c r="AZE1" s="12">
        <v>0</v>
      </c>
      <c r="AZF1" s="12">
        <v>0</v>
      </c>
      <c r="AZG1" s="12">
        <v>0</v>
      </c>
      <c r="AZH1" s="12">
        <v>0</v>
      </c>
      <c r="AZI1" s="12">
        <v>0</v>
      </c>
      <c r="AZJ1" s="12">
        <v>0</v>
      </c>
      <c r="AZK1" s="12">
        <v>0</v>
      </c>
      <c r="AZL1" s="12">
        <v>0</v>
      </c>
      <c r="AZM1" s="12">
        <v>0</v>
      </c>
      <c r="AZN1" s="12">
        <v>0</v>
      </c>
      <c r="AZO1" s="12">
        <v>0</v>
      </c>
      <c r="AZP1" s="12">
        <v>0</v>
      </c>
      <c r="AZQ1" s="12">
        <v>0</v>
      </c>
      <c r="AZR1" s="12">
        <v>0</v>
      </c>
      <c r="AZS1" s="12">
        <v>0</v>
      </c>
      <c r="AZT1" s="12">
        <v>0</v>
      </c>
      <c r="AZU1" s="12">
        <v>0</v>
      </c>
      <c r="AZV1" s="12">
        <v>0</v>
      </c>
      <c r="AZW1" s="12">
        <v>0</v>
      </c>
      <c r="AZX1" s="12">
        <v>0</v>
      </c>
      <c r="AZY1" s="12">
        <v>0</v>
      </c>
      <c r="AZZ1" s="12">
        <v>0</v>
      </c>
      <c r="BAA1" s="12">
        <v>0</v>
      </c>
      <c r="BAB1" s="12">
        <v>0</v>
      </c>
      <c r="BAC1" s="12">
        <v>0</v>
      </c>
      <c r="BAD1" s="12">
        <v>0</v>
      </c>
      <c r="BAE1" s="12">
        <v>0</v>
      </c>
      <c r="BAF1" s="12">
        <v>0</v>
      </c>
      <c r="BAG1" s="12">
        <v>0</v>
      </c>
      <c r="BAH1" s="12">
        <v>0</v>
      </c>
      <c r="BAI1" s="12">
        <v>0</v>
      </c>
      <c r="BAJ1" s="12">
        <v>0</v>
      </c>
      <c r="BAK1" s="12">
        <v>0</v>
      </c>
      <c r="BAL1" s="12">
        <v>0</v>
      </c>
      <c r="BAM1" s="12">
        <v>0</v>
      </c>
      <c r="BAN1" s="12">
        <v>0</v>
      </c>
      <c r="BAO1" s="12">
        <v>0</v>
      </c>
      <c r="BAP1" s="12">
        <v>0</v>
      </c>
      <c r="BAQ1" s="12">
        <v>0</v>
      </c>
      <c r="BAR1" s="12">
        <v>0</v>
      </c>
      <c r="BAS1" s="12">
        <v>0</v>
      </c>
      <c r="BAT1" s="12">
        <v>0</v>
      </c>
      <c r="BAU1" s="12">
        <v>0</v>
      </c>
      <c r="BAV1" s="12">
        <v>0</v>
      </c>
      <c r="BAW1" s="12">
        <v>0</v>
      </c>
      <c r="BAX1" s="12">
        <v>0</v>
      </c>
      <c r="BAY1" s="12">
        <v>0</v>
      </c>
      <c r="BAZ1" s="12">
        <v>0</v>
      </c>
      <c r="BBA1" s="12">
        <v>0</v>
      </c>
      <c r="BBB1" s="12">
        <v>0</v>
      </c>
      <c r="BBC1" s="12">
        <v>0</v>
      </c>
      <c r="BBD1" s="12">
        <v>0</v>
      </c>
      <c r="BBE1" s="12">
        <v>0</v>
      </c>
      <c r="BBF1" s="12">
        <v>0</v>
      </c>
      <c r="BBG1" s="12">
        <v>0</v>
      </c>
      <c r="BBH1" s="12">
        <v>0</v>
      </c>
      <c r="BBI1" s="12">
        <v>0</v>
      </c>
      <c r="BBJ1" s="12">
        <v>0</v>
      </c>
      <c r="BBK1" s="12">
        <v>0</v>
      </c>
      <c r="BBL1" s="12">
        <v>0</v>
      </c>
      <c r="BBM1" s="12">
        <v>0</v>
      </c>
      <c r="BBN1" s="12">
        <v>0</v>
      </c>
      <c r="BBO1" s="12">
        <v>0</v>
      </c>
      <c r="BBP1" s="12">
        <v>0</v>
      </c>
      <c r="BBQ1" s="12">
        <v>0</v>
      </c>
      <c r="BBR1" s="12">
        <v>0</v>
      </c>
      <c r="BBS1" s="12">
        <v>0</v>
      </c>
      <c r="BBT1" s="12">
        <v>0</v>
      </c>
      <c r="BBU1" s="12">
        <v>0</v>
      </c>
      <c r="BBV1" s="12">
        <v>0</v>
      </c>
      <c r="BBW1" s="12">
        <v>0</v>
      </c>
      <c r="BBX1" s="12">
        <v>0</v>
      </c>
      <c r="BBY1" s="12">
        <v>0</v>
      </c>
      <c r="BBZ1" s="12">
        <v>0</v>
      </c>
      <c r="BCA1" s="12">
        <v>0</v>
      </c>
      <c r="BCB1" s="12">
        <v>0</v>
      </c>
      <c r="BCC1" s="12">
        <v>0</v>
      </c>
      <c r="BCD1" s="12">
        <v>0</v>
      </c>
      <c r="BCE1" s="12">
        <v>0</v>
      </c>
      <c r="BCF1" s="12">
        <v>0</v>
      </c>
      <c r="BCG1" s="12">
        <v>0</v>
      </c>
      <c r="BCH1" s="12">
        <v>0</v>
      </c>
      <c r="BCI1" s="12">
        <v>0</v>
      </c>
      <c r="BCJ1" s="12">
        <v>0</v>
      </c>
      <c r="BCK1" s="12">
        <v>0</v>
      </c>
      <c r="BCL1" s="12">
        <v>0</v>
      </c>
      <c r="BCM1" s="12">
        <v>0</v>
      </c>
      <c r="BCN1" s="12">
        <v>0</v>
      </c>
      <c r="BCO1" s="12">
        <v>0</v>
      </c>
      <c r="BCP1" s="12">
        <v>0</v>
      </c>
      <c r="BCQ1" s="12">
        <v>0</v>
      </c>
      <c r="BCR1" s="12">
        <v>0</v>
      </c>
      <c r="BCS1" s="12">
        <v>0</v>
      </c>
      <c r="BCT1" s="12">
        <v>0</v>
      </c>
      <c r="BCU1" s="12">
        <v>0</v>
      </c>
      <c r="BCV1" s="12">
        <v>0</v>
      </c>
      <c r="BCW1" s="12">
        <v>0</v>
      </c>
      <c r="BCX1" s="12">
        <v>0</v>
      </c>
      <c r="BCY1" s="12">
        <v>0</v>
      </c>
      <c r="BCZ1" s="12">
        <v>0</v>
      </c>
      <c r="BDA1" s="12">
        <v>0</v>
      </c>
      <c r="BDB1" s="12">
        <v>0</v>
      </c>
      <c r="BDC1" s="12">
        <v>0</v>
      </c>
      <c r="BDD1" s="12">
        <v>0</v>
      </c>
      <c r="BDE1" s="12">
        <v>0</v>
      </c>
      <c r="BDF1" s="12">
        <v>0</v>
      </c>
      <c r="BDG1" s="12">
        <v>0</v>
      </c>
      <c r="BDH1" s="12">
        <v>0</v>
      </c>
      <c r="BDI1" s="12">
        <v>0</v>
      </c>
      <c r="BDJ1" s="12">
        <v>0</v>
      </c>
      <c r="BDK1" s="12">
        <v>0</v>
      </c>
      <c r="BDL1" s="12">
        <v>0</v>
      </c>
      <c r="BDM1" s="12">
        <v>0</v>
      </c>
      <c r="BDN1" s="12">
        <v>0</v>
      </c>
      <c r="BDO1" s="12">
        <v>0</v>
      </c>
      <c r="BDP1" s="12">
        <v>0</v>
      </c>
      <c r="BDQ1" s="12">
        <v>0</v>
      </c>
      <c r="BDR1" s="12">
        <v>0</v>
      </c>
      <c r="BDS1" s="12">
        <v>0</v>
      </c>
      <c r="BDT1" s="12">
        <v>0</v>
      </c>
      <c r="BDU1" s="12">
        <v>0</v>
      </c>
      <c r="BDV1" s="12">
        <v>0</v>
      </c>
      <c r="BDW1" s="12">
        <v>0</v>
      </c>
      <c r="BDX1" s="12">
        <v>0</v>
      </c>
      <c r="BDY1" s="12">
        <v>0</v>
      </c>
      <c r="BDZ1" s="12">
        <v>0</v>
      </c>
      <c r="BEA1" s="12">
        <v>0</v>
      </c>
      <c r="BEB1" s="12">
        <v>0</v>
      </c>
      <c r="BEC1" s="12">
        <v>0</v>
      </c>
      <c r="BED1" s="12">
        <v>0</v>
      </c>
      <c r="BEE1" s="12">
        <v>0</v>
      </c>
      <c r="BEF1" s="12">
        <v>0</v>
      </c>
      <c r="BEG1" s="12">
        <v>0</v>
      </c>
      <c r="BEH1" s="12">
        <v>0</v>
      </c>
      <c r="BEI1" s="12">
        <v>0</v>
      </c>
      <c r="BEJ1" s="12">
        <v>0</v>
      </c>
      <c r="BEK1" s="12">
        <v>0</v>
      </c>
      <c r="BEL1" s="12">
        <v>0</v>
      </c>
      <c r="BEM1" s="12">
        <v>0</v>
      </c>
      <c r="BEN1" s="12">
        <v>0</v>
      </c>
      <c r="BEO1" s="12">
        <v>0</v>
      </c>
      <c r="BEP1" s="12">
        <v>0</v>
      </c>
      <c r="BEQ1" s="12">
        <v>0</v>
      </c>
      <c r="BER1" s="12">
        <v>0</v>
      </c>
      <c r="BES1" s="12">
        <v>0</v>
      </c>
      <c r="BET1" s="12">
        <v>0</v>
      </c>
      <c r="BEU1" s="12">
        <v>0</v>
      </c>
      <c r="BEV1" s="12">
        <v>0</v>
      </c>
      <c r="BEW1" s="12">
        <v>0</v>
      </c>
      <c r="BEX1" s="12">
        <v>0</v>
      </c>
      <c r="BEY1" s="12">
        <v>0</v>
      </c>
      <c r="BEZ1" s="12">
        <v>0</v>
      </c>
      <c r="BFA1" s="12">
        <v>0</v>
      </c>
      <c r="BFB1" s="12">
        <v>0</v>
      </c>
      <c r="BFC1" s="12">
        <v>0</v>
      </c>
      <c r="BFD1" s="12">
        <v>0</v>
      </c>
      <c r="BFE1" s="12">
        <v>0</v>
      </c>
      <c r="BFF1" s="12">
        <v>0</v>
      </c>
      <c r="BFG1" s="12">
        <v>0</v>
      </c>
      <c r="BFH1" s="12">
        <v>0</v>
      </c>
      <c r="BFI1" s="12">
        <v>0</v>
      </c>
      <c r="BFJ1" s="12">
        <v>0</v>
      </c>
      <c r="BFK1" s="12">
        <v>0</v>
      </c>
      <c r="BFL1" s="12">
        <v>0</v>
      </c>
      <c r="BFM1" s="12">
        <v>0</v>
      </c>
      <c r="BFN1" s="12">
        <v>0</v>
      </c>
      <c r="BFO1" s="12">
        <v>0</v>
      </c>
      <c r="BFP1" s="12">
        <v>0</v>
      </c>
      <c r="BFQ1" s="12">
        <v>0</v>
      </c>
      <c r="BFR1" s="12">
        <v>0</v>
      </c>
      <c r="BFS1" s="12">
        <v>0</v>
      </c>
      <c r="BFT1" s="12">
        <v>0</v>
      </c>
      <c r="BFU1" s="12">
        <v>0</v>
      </c>
      <c r="BFV1" s="12">
        <v>0</v>
      </c>
      <c r="BFW1" s="12">
        <v>0</v>
      </c>
      <c r="BFX1" s="12">
        <v>0</v>
      </c>
      <c r="BFY1" s="12">
        <v>0</v>
      </c>
      <c r="BFZ1" s="12">
        <v>0</v>
      </c>
      <c r="BGA1" s="12">
        <v>0</v>
      </c>
      <c r="BGB1" s="12">
        <v>0</v>
      </c>
      <c r="BGC1" s="12">
        <v>0</v>
      </c>
      <c r="BGD1" s="12">
        <v>0</v>
      </c>
      <c r="BGE1" s="12">
        <v>0</v>
      </c>
      <c r="BGF1" s="12">
        <v>0</v>
      </c>
      <c r="BGG1" s="12">
        <v>0</v>
      </c>
      <c r="BGH1" s="12">
        <v>0</v>
      </c>
      <c r="BGI1" s="12">
        <v>0</v>
      </c>
      <c r="BGJ1" s="12">
        <v>0</v>
      </c>
      <c r="BGK1" s="12">
        <v>0</v>
      </c>
      <c r="BGL1" s="12">
        <v>0</v>
      </c>
      <c r="BGM1" s="12">
        <v>0</v>
      </c>
      <c r="BGN1" s="12">
        <v>0</v>
      </c>
      <c r="BGO1" s="12">
        <v>0</v>
      </c>
      <c r="BGP1" s="12">
        <v>0</v>
      </c>
      <c r="BGQ1" s="12">
        <v>0</v>
      </c>
      <c r="BGR1" s="12">
        <v>0</v>
      </c>
      <c r="BGS1" s="12">
        <v>0</v>
      </c>
      <c r="BGT1" s="12">
        <v>0</v>
      </c>
      <c r="BGU1" s="12">
        <v>0</v>
      </c>
      <c r="BGV1" s="12">
        <v>0</v>
      </c>
      <c r="BGW1" s="12">
        <v>0</v>
      </c>
      <c r="BGX1" s="12">
        <v>0</v>
      </c>
      <c r="BGY1" s="12">
        <v>0</v>
      </c>
      <c r="BGZ1" s="12">
        <v>0</v>
      </c>
      <c r="BHA1" s="12">
        <v>0</v>
      </c>
      <c r="BHB1" s="12">
        <v>0</v>
      </c>
      <c r="BHC1" s="12">
        <v>0</v>
      </c>
      <c r="BHD1" s="12">
        <v>0</v>
      </c>
      <c r="BHE1" s="12">
        <v>0</v>
      </c>
      <c r="BHF1" s="12">
        <v>0</v>
      </c>
      <c r="BHG1" s="12">
        <v>0</v>
      </c>
      <c r="BHH1" s="12">
        <v>0</v>
      </c>
      <c r="BHI1" s="12">
        <v>0</v>
      </c>
      <c r="BHJ1" s="12">
        <v>0</v>
      </c>
      <c r="BHK1" s="12">
        <v>0</v>
      </c>
      <c r="BHL1" s="12">
        <v>0</v>
      </c>
      <c r="BHM1" s="12">
        <v>0</v>
      </c>
      <c r="BHN1" s="12">
        <v>0</v>
      </c>
      <c r="BHO1" s="12">
        <v>0</v>
      </c>
      <c r="BHP1" s="12">
        <v>0</v>
      </c>
      <c r="BHQ1" s="12">
        <v>0</v>
      </c>
      <c r="BHR1" s="12">
        <v>0</v>
      </c>
      <c r="BHS1" s="12">
        <v>0</v>
      </c>
      <c r="BHT1" s="12">
        <v>0</v>
      </c>
      <c r="BHU1" s="12">
        <v>0</v>
      </c>
      <c r="BHV1" s="12">
        <v>0</v>
      </c>
      <c r="BHW1" s="12">
        <v>0</v>
      </c>
      <c r="BHX1" s="12">
        <v>0</v>
      </c>
      <c r="BHY1" s="12">
        <v>0</v>
      </c>
      <c r="BHZ1" s="12">
        <v>0</v>
      </c>
      <c r="BIA1" s="12">
        <v>0</v>
      </c>
      <c r="BIB1" s="12">
        <v>0</v>
      </c>
      <c r="BIC1" s="12">
        <v>0</v>
      </c>
      <c r="BID1" s="12">
        <v>0</v>
      </c>
      <c r="BIE1" s="12">
        <v>0</v>
      </c>
      <c r="BIF1" s="12">
        <v>0</v>
      </c>
      <c r="BIG1" s="12">
        <v>0</v>
      </c>
      <c r="BIH1" s="12">
        <v>0</v>
      </c>
      <c r="BII1" s="12">
        <v>0</v>
      </c>
      <c r="BIJ1" s="12">
        <v>0</v>
      </c>
      <c r="BIK1" s="12">
        <v>0</v>
      </c>
      <c r="BIL1" s="12">
        <v>0</v>
      </c>
      <c r="BIM1" s="12">
        <v>0</v>
      </c>
      <c r="BIN1" s="12">
        <v>0</v>
      </c>
      <c r="BIO1" s="12">
        <v>0</v>
      </c>
      <c r="BIP1" s="12">
        <v>0</v>
      </c>
      <c r="BIQ1" s="12">
        <v>0</v>
      </c>
      <c r="BIR1" s="12">
        <v>0</v>
      </c>
      <c r="BIS1" s="12">
        <v>0</v>
      </c>
      <c r="BIT1" s="12">
        <v>0</v>
      </c>
      <c r="BIU1" s="12">
        <v>0</v>
      </c>
      <c r="BIV1" s="12">
        <v>0</v>
      </c>
      <c r="BIW1" s="12">
        <v>0</v>
      </c>
      <c r="BIX1" s="12">
        <v>0</v>
      </c>
      <c r="BIY1" s="12">
        <v>0</v>
      </c>
      <c r="BIZ1" s="12">
        <v>0</v>
      </c>
      <c r="BJA1" s="12">
        <v>0</v>
      </c>
      <c r="BJB1" s="12">
        <v>0</v>
      </c>
      <c r="BJC1" s="12">
        <v>0</v>
      </c>
      <c r="BJD1" s="12">
        <v>0</v>
      </c>
      <c r="BJE1" s="12">
        <v>0</v>
      </c>
      <c r="BJF1" s="12">
        <v>0</v>
      </c>
      <c r="BJG1" s="12">
        <v>0</v>
      </c>
      <c r="BJH1" s="12">
        <v>0</v>
      </c>
      <c r="BJI1" s="12">
        <v>0</v>
      </c>
      <c r="BJJ1" s="12">
        <v>0</v>
      </c>
      <c r="BJK1" s="12">
        <v>0</v>
      </c>
      <c r="BJL1" s="12">
        <v>0</v>
      </c>
      <c r="BJM1" s="12">
        <v>0</v>
      </c>
      <c r="BJN1" s="12">
        <v>0</v>
      </c>
      <c r="BJO1" s="12">
        <v>0</v>
      </c>
      <c r="BJP1" s="12">
        <v>0</v>
      </c>
      <c r="BJQ1" s="12">
        <v>0</v>
      </c>
      <c r="BJR1" s="12">
        <v>0</v>
      </c>
      <c r="BJS1" s="12">
        <v>0</v>
      </c>
      <c r="BJT1" s="12">
        <v>0</v>
      </c>
      <c r="BJU1" s="12">
        <v>0</v>
      </c>
      <c r="BJV1" s="12">
        <v>0</v>
      </c>
      <c r="BJW1" s="12">
        <v>0</v>
      </c>
      <c r="BJX1" s="12">
        <v>0</v>
      </c>
      <c r="BJY1" s="12">
        <v>0</v>
      </c>
      <c r="BJZ1" s="12">
        <v>0</v>
      </c>
      <c r="BKA1" s="12">
        <v>0</v>
      </c>
      <c r="BKB1" s="12">
        <v>0</v>
      </c>
      <c r="BKC1" s="12">
        <v>0</v>
      </c>
      <c r="BKD1" s="12">
        <v>0</v>
      </c>
      <c r="BKE1" s="12">
        <v>0</v>
      </c>
      <c r="BKF1" s="12">
        <v>0</v>
      </c>
      <c r="BKG1" s="12">
        <v>0</v>
      </c>
      <c r="BKH1" s="12">
        <v>0</v>
      </c>
      <c r="BKI1" s="12">
        <v>0</v>
      </c>
      <c r="BKJ1" s="12">
        <v>0</v>
      </c>
      <c r="BKK1" s="12">
        <v>0</v>
      </c>
      <c r="BKL1" s="12">
        <v>0</v>
      </c>
      <c r="BKM1" s="12">
        <v>0</v>
      </c>
      <c r="BKN1" s="12">
        <v>0</v>
      </c>
      <c r="BKO1" s="12">
        <v>0</v>
      </c>
      <c r="BKP1" s="12">
        <v>0</v>
      </c>
      <c r="BKQ1" s="12">
        <v>0</v>
      </c>
      <c r="BKR1" s="12">
        <v>0</v>
      </c>
      <c r="BKS1" s="12">
        <v>0</v>
      </c>
      <c r="BKT1" s="12">
        <v>0</v>
      </c>
      <c r="BKU1" s="12">
        <v>0</v>
      </c>
      <c r="BKV1" s="12">
        <v>0</v>
      </c>
      <c r="BKW1" s="12">
        <v>0</v>
      </c>
      <c r="BKX1" s="12">
        <v>0</v>
      </c>
      <c r="BKY1" s="12">
        <v>0</v>
      </c>
      <c r="BKZ1" s="12">
        <v>0</v>
      </c>
      <c r="BLA1" s="12">
        <v>0</v>
      </c>
      <c r="BLB1" s="12">
        <v>0</v>
      </c>
      <c r="BLC1" s="12">
        <v>0</v>
      </c>
      <c r="BLD1" s="12">
        <v>0</v>
      </c>
      <c r="BLE1" s="12">
        <v>0</v>
      </c>
      <c r="BLF1" s="12">
        <v>0</v>
      </c>
      <c r="BLG1" s="12">
        <v>0</v>
      </c>
      <c r="BLH1" s="12">
        <v>0</v>
      </c>
      <c r="BLI1" s="12">
        <v>0</v>
      </c>
      <c r="BLJ1" s="12">
        <v>0</v>
      </c>
      <c r="BLK1" s="12">
        <v>0</v>
      </c>
      <c r="BLL1" s="12">
        <v>0</v>
      </c>
      <c r="BLM1" s="12">
        <v>0</v>
      </c>
      <c r="BLN1" s="12">
        <v>0</v>
      </c>
      <c r="BLO1" s="12">
        <v>0</v>
      </c>
      <c r="BLP1" s="12">
        <v>0</v>
      </c>
      <c r="BLQ1" s="12">
        <v>0</v>
      </c>
      <c r="BLR1" s="12">
        <v>0</v>
      </c>
      <c r="BLS1" s="12">
        <v>0</v>
      </c>
      <c r="BLT1" s="12">
        <v>0</v>
      </c>
      <c r="BLU1" s="12">
        <v>0</v>
      </c>
      <c r="BLV1" s="12">
        <v>0</v>
      </c>
      <c r="BLW1" s="12">
        <v>0</v>
      </c>
      <c r="BLX1" s="12">
        <v>0</v>
      </c>
      <c r="BLY1" s="12">
        <v>0</v>
      </c>
      <c r="BLZ1" s="12">
        <v>0</v>
      </c>
      <c r="BMA1" s="12">
        <v>0</v>
      </c>
      <c r="BMB1" s="12">
        <v>0</v>
      </c>
      <c r="BMC1" s="12">
        <v>0</v>
      </c>
      <c r="BMD1" s="12">
        <v>0</v>
      </c>
      <c r="BME1" s="12">
        <v>0</v>
      </c>
      <c r="BMF1" s="12">
        <v>0</v>
      </c>
      <c r="BMG1" s="12">
        <v>0</v>
      </c>
      <c r="BMH1" s="12">
        <v>0</v>
      </c>
      <c r="BMI1" s="12">
        <v>0</v>
      </c>
      <c r="BMJ1" s="12">
        <v>0</v>
      </c>
      <c r="BMK1" s="12">
        <v>0</v>
      </c>
      <c r="BML1" s="12">
        <v>0</v>
      </c>
      <c r="BMM1" s="12">
        <v>0</v>
      </c>
      <c r="BMN1" s="12">
        <v>0</v>
      </c>
      <c r="BMO1" s="12">
        <v>0</v>
      </c>
      <c r="BMP1" s="12">
        <v>0</v>
      </c>
      <c r="BMQ1" s="12">
        <v>0</v>
      </c>
      <c r="BMR1" s="12">
        <v>0</v>
      </c>
      <c r="BMS1" s="12">
        <v>0</v>
      </c>
      <c r="BMT1" s="12">
        <v>0</v>
      </c>
      <c r="BMU1" s="12">
        <v>0</v>
      </c>
      <c r="BMV1" s="12">
        <v>0</v>
      </c>
      <c r="BMW1" s="12">
        <v>0</v>
      </c>
      <c r="BMX1" s="12">
        <v>0</v>
      </c>
      <c r="BMY1" s="12">
        <v>0</v>
      </c>
      <c r="BMZ1" s="12">
        <v>0</v>
      </c>
      <c r="BNA1" s="12">
        <v>0</v>
      </c>
      <c r="BNB1" s="12">
        <v>0</v>
      </c>
      <c r="BNC1" s="12">
        <v>0</v>
      </c>
      <c r="BND1" s="12">
        <v>0</v>
      </c>
      <c r="BNE1" s="12">
        <v>0</v>
      </c>
      <c r="BNF1" s="12">
        <v>0</v>
      </c>
      <c r="BNG1" s="12">
        <v>0</v>
      </c>
      <c r="BNH1" s="12">
        <v>0</v>
      </c>
      <c r="BNI1" s="12">
        <v>0</v>
      </c>
      <c r="BNJ1" s="12">
        <v>0</v>
      </c>
      <c r="BNK1" s="12">
        <v>0</v>
      </c>
      <c r="BNL1" s="12">
        <v>0</v>
      </c>
      <c r="BNM1" s="12">
        <v>0</v>
      </c>
      <c r="BNN1" s="12">
        <v>0</v>
      </c>
      <c r="BNO1" s="12">
        <v>0</v>
      </c>
      <c r="BNP1" s="12">
        <v>0</v>
      </c>
      <c r="BNQ1" s="12">
        <v>0</v>
      </c>
      <c r="BNR1" s="12">
        <v>0</v>
      </c>
      <c r="BNS1" s="12">
        <v>0</v>
      </c>
      <c r="BNT1" s="12">
        <v>0</v>
      </c>
      <c r="BNU1" s="12">
        <v>0</v>
      </c>
      <c r="BNV1" s="12">
        <v>0</v>
      </c>
      <c r="BNW1" s="12">
        <v>0</v>
      </c>
      <c r="BNX1" s="12">
        <v>0</v>
      </c>
      <c r="BNY1" s="12">
        <v>0</v>
      </c>
      <c r="BNZ1" s="12">
        <v>0</v>
      </c>
      <c r="BOA1" s="12">
        <v>0</v>
      </c>
      <c r="BOB1" s="12">
        <v>0</v>
      </c>
      <c r="BOC1" s="12">
        <v>0</v>
      </c>
      <c r="BOD1" s="12">
        <v>0</v>
      </c>
      <c r="BOE1" s="12">
        <v>0</v>
      </c>
      <c r="BOF1" s="12">
        <v>0</v>
      </c>
      <c r="BOG1" s="12">
        <v>0</v>
      </c>
      <c r="BOH1" s="12">
        <v>0</v>
      </c>
      <c r="BOI1" s="12">
        <v>0</v>
      </c>
      <c r="BOJ1" s="12">
        <v>0</v>
      </c>
      <c r="BOK1" s="12">
        <v>0</v>
      </c>
      <c r="BOL1" s="12">
        <v>0</v>
      </c>
      <c r="BOM1" s="12">
        <v>0</v>
      </c>
      <c r="BON1" s="12">
        <v>0</v>
      </c>
      <c r="BOO1" s="12">
        <v>0</v>
      </c>
      <c r="BOP1" s="12">
        <v>0</v>
      </c>
      <c r="BOQ1" s="12">
        <v>0</v>
      </c>
      <c r="BOR1" s="12">
        <v>0</v>
      </c>
      <c r="BOS1" s="12">
        <v>0</v>
      </c>
      <c r="BOT1" s="12">
        <v>0</v>
      </c>
      <c r="BOU1" s="12">
        <v>0</v>
      </c>
      <c r="BOV1" s="12">
        <v>0</v>
      </c>
      <c r="BOW1" s="12">
        <v>0</v>
      </c>
      <c r="BOX1" s="12">
        <v>0</v>
      </c>
      <c r="BOY1" s="12">
        <v>0</v>
      </c>
      <c r="BOZ1" s="12">
        <v>0</v>
      </c>
      <c r="BPA1" s="12">
        <v>0</v>
      </c>
      <c r="BPB1" s="12">
        <v>0</v>
      </c>
      <c r="BPC1" s="12">
        <v>0</v>
      </c>
      <c r="BPD1" s="12">
        <v>0</v>
      </c>
      <c r="BPE1" s="12">
        <v>0</v>
      </c>
      <c r="BPF1" s="12">
        <v>0</v>
      </c>
      <c r="BPG1" s="12">
        <v>0</v>
      </c>
      <c r="BPH1" s="12">
        <v>0</v>
      </c>
      <c r="BPI1" s="12">
        <v>0</v>
      </c>
      <c r="BPJ1" s="12">
        <v>0</v>
      </c>
      <c r="BPK1" s="12">
        <v>0</v>
      </c>
      <c r="BPL1" s="12">
        <v>0</v>
      </c>
      <c r="BPM1" s="12">
        <v>0</v>
      </c>
      <c r="BPN1" s="12">
        <v>0</v>
      </c>
      <c r="BPO1" s="12">
        <v>0</v>
      </c>
      <c r="BPP1" s="12">
        <v>0</v>
      </c>
      <c r="BPQ1" s="12">
        <v>0</v>
      </c>
      <c r="BPR1" s="12">
        <v>0</v>
      </c>
      <c r="BPS1" s="12">
        <v>0</v>
      </c>
      <c r="BPT1" s="12">
        <v>0</v>
      </c>
      <c r="BPU1" s="12">
        <v>0</v>
      </c>
      <c r="BPV1" s="12">
        <v>0</v>
      </c>
      <c r="BPW1" s="12">
        <v>0</v>
      </c>
      <c r="BPX1" s="12">
        <v>0</v>
      </c>
      <c r="BPY1" s="12">
        <v>0</v>
      </c>
      <c r="BPZ1" s="12">
        <v>0</v>
      </c>
      <c r="BQA1" s="12">
        <v>0</v>
      </c>
      <c r="BQB1" s="12">
        <v>0</v>
      </c>
      <c r="BQC1" s="12">
        <v>0</v>
      </c>
      <c r="BQD1" s="12">
        <v>0</v>
      </c>
      <c r="BQE1" s="12">
        <v>0</v>
      </c>
      <c r="BQF1" s="12">
        <v>0</v>
      </c>
      <c r="BQG1" s="12">
        <v>0</v>
      </c>
      <c r="BQH1" s="12">
        <v>0</v>
      </c>
      <c r="BQI1" s="12">
        <v>0</v>
      </c>
      <c r="BQJ1" s="12">
        <v>0</v>
      </c>
      <c r="BQK1" s="12">
        <v>0</v>
      </c>
      <c r="BQL1" s="12">
        <v>0</v>
      </c>
      <c r="BQM1" s="12">
        <v>0</v>
      </c>
      <c r="BQN1" s="12">
        <v>0</v>
      </c>
      <c r="BQO1" s="12">
        <v>0</v>
      </c>
      <c r="BQP1" s="12">
        <v>0</v>
      </c>
      <c r="BQQ1" s="12">
        <v>0</v>
      </c>
      <c r="BQR1" s="12">
        <v>0</v>
      </c>
      <c r="BQS1" s="12">
        <v>0</v>
      </c>
      <c r="BQT1" s="12">
        <v>0</v>
      </c>
      <c r="BQU1" s="12">
        <v>0</v>
      </c>
      <c r="BQV1" s="12">
        <v>0</v>
      </c>
      <c r="BQW1" s="12">
        <v>0</v>
      </c>
      <c r="BQX1" s="12">
        <v>0</v>
      </c>
      <c r="BQY1" s="12">
        <v>0</v>
      </c>
      <c r="BQZ1" s="12">
        <v>0</v>
      </c>
      <c r="BRA1" s="12">
        <v>0</v>
      </c>
      <c r="BRB1" s="12">
        <v>0</v>
      </c>
      <c r="BRC1" s="12">
        <v>0</v>
      </c>
      <c r="BRD1" s="12">
        <v>0</v>
      </c>
      <c r="BRE1" s="12">
        <v>0</v>
      </c>
      <c r="BRF1" s="12">
        <v>0</v>
      </c>
      <c r="BRG1" s="12">
        <v>0</v>
      </c>
      <c r="BRH1" s="12">
        <v>0</v>
      </c>
      <c r="BRI1" s="12">
        <v>0</v>
      </c>
      <c r="BRJ1" s="12">
        <v>0</v>
      </c>
      <c r="BRK1" s="12">
        <v>0</v>
      </c>
      <c r="BRL1" s="12">
        <v>0</v>
      </c>
      <c r="BRM1" s="12">
        <v>0</v>
      </c>
      <c r="BRN1" s="12">
        <v>0</v>
      </c>
      <c r="BRO1" s="12">
        <v>0</v>
      </c>
      <c r="BRP1" s="12">
        <v>0</v>
      </c>
      <c r="BRQ1" s="12">
        <v>0</v>
      </c>
      <c r="BRR1" s="12">
        <v>0</v>
      </c>
      <c r="BRS1" s="12">
        <v>0</v>
      </c>
      <c r="BRT1" s="12">
        <v>0</v>
      </c>
      <c r="BRU1" s="12">
        <v>0</v>
      </c>
      <c r="BRV1" s="12">
        <v>0</v>
      </c>
      <c r="BRW1" s="12">
        <v>0</v>
      </c>
      <c r="BRX1" s="12">
        <v>0</v>
      </c>
      <c r="BRY1" s="12">
        <v>0</v>
      </c>
      <c r="BRZ1" s="12">
        <v>0</v>
      </c>
      <c r="BSA1" s="12">
        <v>0</v>
      </c>
      <c r="BSB1" s="12">
        <v>0</v>
      </c>
      <c r="BSC1" s="12">
        <v>0</v>
      </c>
      <c r="BSD1" s="12">
        <v>0</v>
      </c>
      <c r="BSE1" s="12">
        <v>0</v>
      </c>
      <c r="BSF1" s="12">
        <v>0</v>
      </c>
      <c r="BSG1" s="12">
        <v>0</v>
      </c>
      <c r="BSH1" s="12">
        <v>0</v>
      </c>
      <c r="BSI1" s="12">
        <v>0</v>
      </c>
      <c r="BSJ1" s="12">
        <v>0</v>
      </c>
      <c r="BSK1" s="12">
        <v>0</v>
      </c>
      <c r="BSL1" s="12">
        <v>0</v>
      </c>
      <c r="BSM1" s="12">
        <v>0</v>
      </c>
      <c r="BSN1" s="12">
        <v>0</v>
      </c>
      <c r="BSO1" s="12">
        <v>0</v>
      </c>
      <c r="BSP1" s="12">
        <v>0</v>
      </c>
      <c r="BSQ1" s="12">
        <v>0</v>
      </c>
      <c r="BSR1" s="12">
        <v>0</v>
      </c>
      <c r="BSS1" s="12">
        <v>0</v>
      </c>
      <c r="BST1" s="12">
        <v>0</v>
      </c>
      <c r="BSU1" s="12">
        <v>0</v>
      </c>
      <c r="BSV1" s="12">
        <v>0</v>
      </c>
      <c r="BSW1" s="12">
        <v>0</v>
      </c>
      <c r="BSX1" s="12">
        <v>0</v>
      </c>
      <c r="BSY1" s="12">
        <v>0</v>
      </c>
      <c r="BSZ1" s="12">
        <v>0</v>
      </c>
      <c r="BTA1" s="12">
        <v>0</v>
      </c>
      <c r="BTB1" s="12">
        <v>0</v>
      </c>
      <c r="BTC1" s="12">
        <v>0</v>
      </c>
      <c r="BTD1" s="12">
        <v>0</v>
      </c>
      <c r="BTE1" s="12">
        <v>0</v>
      </c>
      <c r="BTF1" s="12">
        <v>0</v>
      </c>
      <c r="BTG1" s="12">
        <v>0</v>
      </c>
      <c r="BTH1" s="12">
        <v>0</v>
      </c>
      <c r="BTI1" s="12">
        <v>0</v>
      </c>
      <c r="BTJ1" s="12">
        <v>0</v>
      </c>
      <c r="BTK1" s="12">
        <v>0</v>
      </c>
      <c r="BTL1" s="12">
        <v>0</v>
      </c>
      <c r="BTM1" s="12">
        <v>0</v>
      </c>
      <c r="BTN1" s="12">
        <v>0</v>
      </c>
      <c r="BTO1" s="12">
        <v>0</v>
      </c>
      <c r="BTP1" s="12">
        <v>0</v>
      </c>
      <c r="BTQ1" s="12">
        <v>0</v>
      </c>
      <c r="BTR1" s="12">
        <v>0</v>
      </c>
      <c r="BTS1" s="12">
        <v>0</v>
      </c>
      <c r="BTT1" s="12">
        <v>0</v>
      </c>
      <c r="BTU1" s="12">
        <v>0</v>
      </c>
      <c r="BTV1" s="12">
        <v>0</v>
      </c>
      <c r="BTW1" s="12">
        <v>0</v>
      </c>
      <c r="BTX1" s="12">
        <v>0</v>
      </c>
      <c r="BTY1" s="12">
        <v>0</v>
      </c>
      <c r="BTZ1" s="12">
        <v>0</v>
      </c>
      <c r="BUA1" s="12">
        <v>0</v>
      </c>
      <c r="BUB1" s="12">
        <v>0</v>
      </c>
      <c r="BUC1" s="12">
        <v>0</v>
      </c>
      <c r="BUD1" s="12">
        <v>0</v>
      </c>
      <c r="BUE1" s="12">
        <v>0</v>
      </c>
      <c r="BUF1" s="12">
        <v>0</v>
      </c>
      <c r="BUG1" s="12">
        <v>0</v>
      </c>
      <c r="BUH1" s="12">
        <v>0</v>
      </c>
      <c r="BUI1" s="12">
        <v>0</v>
      </c>
      <c r="BUJ1" s="12">
        <v>0</v>
      </c>
      <c r="BUK1" s="12">
        <v>0</v>
      </c>
      <c r="BUL1" s="12">
        <v>0</v>
      </c>
      <c r="BUM1" s="12">
        <v>0</v>
      </c>
      <c r="BUN1" s="12">
        <v>0</v>
      </c>
      <c r="BUO1" s="12">
        <v>0</v>
      </c>
      <c r="BUP1" s="12">
        <v>0</v>
      </c>
      <c r="BUQ1" s="12">
        <v>0</v>
      </c>
      <c r="BUR1" s="12">
        <v>0</v>
      </c>
      <c r="BUS1" s="12">
        <v>0</v>
      </c>
      <c r="BUT1" s="12">
        <v>0</v>
      </c>
      <c r="BUU1" s="12">
        <v>0</v>
      </c>
      <c r="BUV1" s="12">
        <v>0</v>
      </c>
      <c r="BUW1" s="12">
        <v>0</v>
      </c>
      <c r="BUX1" s="12">
        <v>0</v>
      </c>
      <c r="BUY1" s="12">
        <v>0</v>
      </c>
      <c r="BUZ1" s="12">
        <v>0</v>
      </c>
      <c r="BVA1" s="12">
        <v>0</v>
      </c>
      <c r="BVB1" s="12">
        <v>0</v>
      </c>
      <c r="BVC1" s="12">
        <v>0</v>
      </c>
      <c r="BVD1" s="12">
        <v>0</v>
      </c>
      <c r="BVE1" s="12">
        <v>0</v>
      </c>
      <c r="BVF1" s="12">
        <v>0</v>
      </c>
      <c r="BVG1" s="12">
        <v>0</v>
      </c>
      <c r="BVH1" s="12">
        <v>0</v>
      </c>
      <c r="BVI1" s="12">
        <v>0</v>
      </c>
      <c r="BVJ1" s="12">
        <v>0</v>
      </c>
      <c r="BVK1" s="12">
        <v>0</v>
      </c>
      <c r="BVL1" s="12">
        <v>0</v>
      </c>
      <c r="BVM1" s="12">
        <v>0</v>
      </c>
      <c r="BVN1" s="12">
        <v>0</v>
      </c>
      <c r="BVO1" s="12">
        <v>0</v>
      </c>
      <c r="BVP1" s="12">
        <v>0</v>
      </c>
      <c r="BVQ1" s="12">
        <v>0</v>
      </c>
      <c r="BVR1" s="12">
        <v>0</v>
      </c>
      <c r="BVS1" s="12">
        <v>0</v>
      </c>
      <c r="BVT1" s="12">
        <v>0</v>
      </c>
      <c r="BVU1" s="12">
        <v>0</v>
      </c>
      <c r="BVV1" s="12">
        <v>0</v>
      </c>
      <c r="BVW1" s="12">
        <v>0</v>
      </c>
      <c r="BVX1" s="12">
        <v>0</v>
      </c>
      <c r="BVY1" s="12">
        <v>0</v>
      </c>
      <c r="BVZ1" s="12">
        <v>0</v>
      </c>
      <c r="BWA1" s="12">
        <v>0</v>
      </c>
      <c r="BWB1" s="12">
        <v>0</v>
      </c>
      <c r="BWC1" s="12">
        <v>0</v>
      </c>
      <c r="BWD1" s="12">
        <v>0</v>
      </c>
      <c r="BWE1" s="12">
        <v>0</v>
      </c>
      <c r="BWF1" s="12">
        <v>0</v>
      </c>
      <c r="BWG1" s="12">
        <v>0</v>
      </c>
      <c r="BWH1" s="12">
        <v>0</v>
      </c>
      <c r="BWI1" s="12">
        <v>0</v>
      </c>
      <c r="BWJ1" s="12">
        <v>0</v>
      </c>
      <c r="BWK1" s="12">
        <v>0</v>
      </c>
      <c r="BWL1" s="12">
        <v>0</v>
      </c>
      <c r="BWM1" s="12">
        <v>0</v>
      </c>
      <c r="BWN1" s="12">
        <v>0</v>
      </c>
      <c r="BWO1" s="12">
        <v>0</v>
      </c>
      <c r="BWP1" s="12">
        <v>0</v>
      </c>
      <c r="BWQ1" s="12">
        <v>0</v>
      </c>
      <c r="BWR1" s="12">
        <v>0</v>
      </c>
      <c r="BWS1" s="12">
        <v>0</v>
      </c>
      <c r="BWT1" s="12">
        <v>0</v>
      </c>
      <c r="BWU1" s="12">
        <v>0</v>
      </c>
      <c r="BWV1" s="12">
        <v>0</v>
      </c>
      <c r="BWW1" s="12">
        <v>0</v>
      </c>
      <c r="BWX1" s="12">
        <v>0</v>
      </c>
      <c r="BWY1" s="12">
        <v>0</v>
      </c>
      <c r="BWZ1" s="12">
        <v>0</v>
      </c>
      <c r="BXA1" s="12">
        <v>0</v>
      </c>
      <c r="BXB1" s="12">
        <v>0</v>
      </c>
      <c r="BXC1" s="12">
        <v>0</v>
      </c>
      <c r="BXD1" s="12">
        <v>0</v>
      </c>
      <c r="BXE1" s="12">
        <v>0</v>
      </c>
      <c r="BXF1" s="12">
        <v>0</v>
      </c>
      <c r="BXG1" s="12">
        <v>0</v>
      </c>
      <c r="BXH1" s="12">
        <v>0</v>
      </c>
      <c r="BXI1" s="12">
        <v>0</v>
      </c>
      <c r="BXJ1" s="12">
        <v>0</v>
      </c>
      <c r="BXK1" s="12">
        <v>0</v>
      </c>
      <c r="BXL1" s="12">
        <v>0</v>
      </c>
      <c r="BXM1" s="12">
        <v>0</v>
      </c>
      <c r="BXN1" s="12">
        <v>0</v>
      </c>
      <c r="BXO1" s="12">
        <v>0</v>
      </c>
      <c r="BXP1" s="12">
        <v>0</v>
      </c>
      <c r="BXQ1" s="12">
        <v>0</v>
      </c>
      <c r="BXR1" s="12">
        <v>0</v>
      </c>
      <c r="BXS1" s="12">
        <v>0</v>
      </c>
      <c r="BXT1" s="12">
        <v>0</v>
      </c>
      <c r="BXU1" s="12">
        <v>0</v>
      </c>
      <c r="BXV1" s="12">
        <v>0</v>
      </c>
      <c r="BXW1" s="12">
        <v>0</v>
      </c>
      <c r="BXX1" s="12">
        <v>0</v>
      </c>
      <c r="BXY1" s="12">
        <v>0</v>
      </c>
      <c r="BXZ1" s="12">
        <v>0</v>
      </c>
      <c r="BYA1" s="12">
        <v>0</v>
      </c>
      <c r="BYB1" s="12">
        <v>0</v>
      </c>
      <c r="BYC1" s="12">
        <v>0</v>
      </c>
      <c r="BYD1" s="12">
        <v>0</v>
      </c>
      <c r="BYE1" s="12">
        <v>0</v>
      </c>
      <c r="BYF1" s="12">
        <v>0</v>
      </c>
      <c r="BYG1" s="12">
        <v>0</v>
      </c>
      <c r="BYH1" s="12">
        <v>0</v>
      </c>
      <c r="BYI1" s="12">
        <v>0</v>
      </c>
      <c r="BYJ1" s="12">
        <v>0</v>
      </c>
      <c r="BYK1" s="12">
        <v>0</v>
      </c>
      <c r="BYL1" s="12">
        <v>0</v>
      </c>
      <c r="BYM1" s="12">
        <v>0</v>
      </c>
      <c r="BYN1" s="12">
        <v>0</v>
      </c>
      <c r="BYO1" s="12">
        <v>0</v>
      </c>
      <c r="BYP1" s="12">
        <v>0</v>
      </c>
      <c r="BYQ1" s="12">
        <v>0</v>
      </c>
      <c r="BYR1" s="12">
        <v>0</v>
      </c>
      <c r="BYS1" s="12">
        <v>0</v>
      </c>
      <c r="BYT1" s="12">
        <v>0</v>
      </c>
      <c r="BYU1" s="12">
        <v>0</v>
      </c>
      <c r="BYV1" s="12">
        <v>0</v>
      </c>
      <c r="BYW1" s="12">
        <v>0</v>
      </c>
      <c r="BYX1" s="12">
        <v>0</v>
      </c>
      <c r="BYY1" s="12">
        <v>0</v>
      </c>
      <c r="BYZ1" s="12">
        <v>0</v>
      </c>
      <c r="BZA1" s="12">
        <v>0</v>
      </c>
      <c r="BZB1" s="12">
        <v>0</v>
      </c>
      <c r="BZC1" s="12">
        <v>0</v>
      </c>
      <c r="BZD1" s="12">
        <v>0</v>
      </c>
      <c r="BZE1" s="12">
        <v>0</v>
      </c>
      <c r="BZF1" s="12">
        <v>0</v>
      </c>
      <c r="BZG1" s="12">
        <v>0</v>
      </c>
      <c r="BZH1" s="12">
        <v>0</v>
      </c>
      <c r="BZI1" s="12">
        <v>0</v>
      </c>
      <c r="BZJ1" s="12">
        <v>0</v>
      </c>
      <c r="BZK1" s="12">
        <v>0</v>
      </c>
      <c r="BZL1" s="12">
        <v>0</v>
      </c>
      <c r="BZM1" s="12">
        <v>0</v>
      </c>
      <c r="BZN1" s="12">
        <v>0</v>
      </c>
      <c r="BZO1" s="12">
        <v>0</v>
      </c>
      <c r="BZP1" s="12">
        <v>0</v>
      </c>
      <c r="BZQ1" s="12">
        <v>0</v>
      </c>
      <c r="BZR1" s="12">
        <v>0</v>
      </c>
      <c r="BZS1" s="12">
        <v>0</v>
      </c>
      <c r="BZT1" s="12">
        <v>0</v>
      </c>
      <c r="BZU1" s="13">
        <v>0</v>
      </c>
    </row>
    <row r="2" spans="1:2049" outlineLevel="1" x14ac:dyDescent="0.3">
      <c r="A2" s="28" t="s">
        <v>174</v>
      </c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/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7"/>
      <c r="AQ2" s="17" t="str">
        <f>VLOOKUP(AQ1,Data_lists!E2:F8,2,FALSE)</f>
        <v>HoTT SUMD</v>
      </c>
      <c r="AR2" s="17" t="str">
        <f>VLOOKUP(AR1,Data_lists!H2:I4, 2, FALSE)</f>
        <v>High</v>
      </c>
      <c r="AS2" s="17" t="str">
        <f xml:space="preserve"> VLOOKUP(Settings!AS1,Data_lists!B2:C9,2,FALSE)</f>
        <v>GEAR</v>
      </c>
      <c r="AT2" s="17" t="str">
        <f xml:space="preserve"> VLOOKUP(Settings!AT1, Data_lists!N2:O5, 2, FALSE)</f>
        <v>JR/Spektrum</v>
      </c>
      <c r="AU2" s="17" t="str">
        <f>VLOOKUP(AU1,Data_lists!B2:C9,2,FALSE)</f>
        <v>GEAR</v>
      </c>
      <c r="AV2" s="17">
        <f>Settings!AV1</f>
        <v>0</v>
      </c>
      <c r="AW2" s="17">
        <f>AW1</f>
        <v>0</v>
      </c>
      <c r="AX2" s="17">
        <f>AX1</f>
        <v>0</v>
      </c>
      <c r="AY2" s="17">
        <f>AY1</f>
        <v>50</v>
      </c>
      <c r="AZ2" s="17">
        <f>AZ1</f>
        <v>100</v>
      </c>
      <c r="BA2" s="17" t="str">
        <f>VLOOKUP(Settings!BA1,Data_lists!K2:L3,2,FALSE)</f>
        <v>OFF</v>
      </c>
      <c r="BB2" s="17">
        <f>Settings!BB1</f>
        <v>20</v>
      </c>
      <c r="BC2" s="17">
        <f>BC1</f>
        <v>40</v>
      </c>
      <c r="BD2" s="17">
        <f t="shared" ref="BD2:CP2" si="0">BD1</f>
        <v>10</v>
      </c>
      <c r="BE2" s="17">
        <f t="shared" si="0"/>
        <v>10</v>
      </c>
      <c r="BF2" s="17">
        <f t="shared" si="0"/>
        <v>2</v>
      </c>
      <c r="BG2" s="17">
        <f t="shared" si="0"/>
        <v>10</v>
      </c>
      <c r="BH2" s="17">
        <f t="shared" si="0"/>
        <v>0</v>
      </c>
      <c r="BI2" s="17">
        <f t="shared" si="0"/>
        <v>40</v>
      </c>
      <c r="BJ2" s="17">
        <f t="shared" si="0"/>
        <v>10</v>
      </c>
      <c r="BK2" s="17">
        <f t="shared" si="0"/>
        <v>10</v>
      </c>
      <c r="BL2" s="17">
        <f t="shared" si="0"/>
        <v>2</v>
      </c>
      <c r="BM2" s="17">
        <f t="shared" si="0"/>
        <v>10</v>
      </c>
      <c r="BN2" s="17">
        <f t="shared" si="0"/>
        <v>0</v>
      </c>
      <c r="BO2" s="17">
        <f t="shared" si="0"/>
        <v>60</v>
      </c>
      <c r="BP2" s="17">
        <f t="shared" si="0"/>
        <v>40</v>
      </c>
      <c r="BQ2" s="17">
        <f t="shared" si="0"/>
        <v>25</v>
      </c>
      <c r="BR2" s="17">
        <f t="shared" si="0"/>
        <v>2</v>
      </c>
      <c r="BS2" s="17">
        <f t="shared" si="0"/>
        <v>0</v>
      </c>
      <c r="BT2" s="17">
        <f t="shared" si="0"/>
        <v>40</v>
      </c>
      <c r="BU2" s="17">
        <f t="shared" si="0"/>
        <v>20</v>
      </c>
      <c r="BV2" s="17">
        <f t="shared" si="0"/>
        <v>10</v>
      </c>
      <c r="BW2" s="17">
        <f t="shared" si="0"/>
        <v>40</v>
      </c>
      <c r="BX2" s="17">
        <f t="shared" si="0"/>
        <v>19</v>
      </c>
      <c r="BY2" s="17">
        <f t="shared" si="0"/>
        <v>14</v>
      </c>
      <c r="BZ2" s="17">
        <f t="shared" si="0"/>
        <v>3</v>
      </c>
      <c r="CA2" s="17">
        <f t="shared" si="0"/>
        <v>1</v>
      </c>
      <c r="CB2" s="17">
        <f t="shared" si="0"/>
        <v>0</v>
      </c>
      <c r="CC2" s="17">
        <f t="shared" si="0"/>
        <v>40</v>
      </c>
      <c r="CD2" s="17">
        <f t="shared" si="0"/>
        <v>19</v>
      </c>
      <c r="CE2" s="17">
        <f t="shared" si="0"/>
        <v>14</v>
      </c>
      <c r="CF2" s="17">
        <f t="shared" si="0"/>
        <v>3</v>
      </c>
      <c r="CG2" s="17">
        <f t="shared" si="0"/>
        <v>1</v>
      </c>
      <c r="CH2" s="17">
        <f t="shared" si="0"/>
        <v>0</v>
      </c>
      <c r="CI2" s="17">
        <f t="shared" si="0"/>
        <v>60</v>
      </c>
      <c r="CJ2" s="17">
        <f t="shared" si="0"/>
        <v>40</v>
      </c>
      <c r="CK2" s="17">
        <f t="shared" si="0"/>
        <v>25</v>
      </c>
      <c r="CL2" s="17">
        <f t="shared" si="0"/>
        <v>2</v>
      </c>
      <c r="CM2" s="17">
        <f t="shared" si="0"/>
        <v>0</v>
      </c>
      <c r="CN2" s="17">
        <f t="shared" si="0"/>
        <v>0</v>
      </c>
      <c r="CO2" s="17">
        <f t="shared" si="0"/>
        <v>0</v>
      </c>
      <c r="CP2" s="17">
        <f t="shared" si="0"/>
        <v>0</v>
      </c>
      <c r="CQ2" s="17"/>
      <c r="CR2" s="17"/>
      <c r="CS2" s="17"/>
      <c r="CT2" s="17"/>
      <c r="CU2" s="17"/>
      <c r="CV2" s="17"/>
      <c r="CW2" s="17"/>
      <c r="CX2" s="17"/>
      <c r="CY2" s="17"/>
      <c r="CZ2" s="17"/>
      <c r="DA2" s="17"/>
      <c r="DB2" s="17"/>
      <c r="DC2" s="17"/>
      <c r="DD2" s="17"/>
      <c r="DE2" s="17"/>
      <c r="DF2" s="17"/>
      <c r="DG2" s="17"/>
      <c r="DH2" s="17"/>
      <c r="DI2" s="17"/>
      <c r="DJ2" s="17"/>
      <c r="DK2" s="17"/>
      <c r="DL2" s="17"/>
      <c r="DM2" s="17"/>
      <c r="DN2" s="17"/>
      <c r="DO2" s="17"/>
      <c r="DP2" s="17"/>
      <c r="DQ2" s="17"/>
      <c r="DR2" s="17"/>
      <c r="DS2" s="17"/>
      <c r="DT2" s="17"/>
      <c r="DU2" s="17"/>
      <c r="DV2" s="17"/>
      <c r="DW2" s="17"/>
      <c r="DX2" s="17"/>
      <c r="DY2" s="17"/>
      <c r="DZ2" s="17"/>
      <c r="EA2" s="17"/>
      <c r="EB2" s="17"/>
      <c r="EC2" s="17"/>
      <c r="ED2" s="17"/>
      <c r="EE2" s="17"/>
      <c r="EF2" s="17"/>
      <c r="EG2" s="17"/>
      <c r="EH2" s="17"/>
      <c r="EI2" s="17"/>
      <c r="EJ2" s="17"/>
      <c r="EK2" s="17"/>
      <c r="EL2" s="17"/>
      <c r="EM2" s="17"/>
      <c r="EN2" s="17"/>
      <c r="EO2" s="17"/>
      <c r="EP2" s="17"/>
      <c r="EQ2" s="17"/>
      <c r="ER2" s="17"/>
      <c r="ES2" s="17"/>
      <c r="ET2" s="17"/>
      <c r="EU2" s="17"/>
      <c r="EV2" s="17"/>
      <c r="EW2" s="17"/>
      <c r="EX2" s="17"/>
      <c r="EY2" s="17"/>
      <c r="EZ2" s="17"/>
      <c r="FA2" s="17"/>
      <c r="FB2" s="17"/>
      <c r="FC2" s="17"/>
      <c r="FD2" s="17"/>
      <c r="FE2" s="17" t="str">
        <f>VLOOKUP(FE1,Data_lists!B23:C46,2,FALSE)</f>
        <v>Top-Rear</v>
      </c>
      <c r="FF2" s="17" t="str">
        <f>VLOOKUP(FF1,Data_lists!E23:F25,2,FALSE)</f>
        <v>No</v>
      </c>
      <c r="FG2" s="17">
        <f>FG1</f>
        <v>36</v>
      </c>
      <c r="FH2" s="17" t="str">
        <f>VLOOKUP(FH1,Data_lists!E28:F29,2,FALSE)</f>
        <v>Armable</v>
      </c>
      <c r="FI2" s="17">
        <f>FI1</f>
        <v>30</v>
      </c>
      <c r="FJ2" s="17" t="str">
        <f>VLOOKUP(FJ1,Data_lists!E32:F40,2,FALSE)</f>
        <v>OFF</v>
      </c>
      <c r="FK2" s="17" t="str">
        <f>VLOOKUP(FK1,Data_lists!H23:I30,2,FALSE)</f>
        <v>44Hz</v>
      </c>
      <c r="FL2" s="17" t="str">
        <f>VLOOKUP(FL1,Data_lists!H23:I30,2,FALSE)</f>
        <v>21Hz</v>
      </c>
      <c r="FM2" s="17" t="str">
        <f>VLOOKUP(FM1,Data_lists!H23:I30,2,FALSE)</f>
        <v>None</v>
      </c>
      <c r="FN2" s="17">
        <f>FN1</f>
        <v>6</v>
      </c>
      <c r="FO2" s="17" t="str">
        <f>VLOOKUP(FO1,Data_lists!H33:I37,2,FALSE)</f>
        <v>Options</v>
      </c>
      <c r="FP2" s="17" t="str">
        <f>VLOOKUP(FP1,Data_lists!K2:L3,2,FALSE)</f>
        <v>ON</v>
      </c>
      <c r="FQ2" s="17">
        <f>FQ1</f>
        <v>0</v>
      </c>
      <c r="FR2" s="17">
        <f>FR1</f>
        <v>0</v>
      </c>
      <c r="FS2" s="17">
        <f>FS1</f>
        <v>0</v>
      </c>
      <c r="FT2" s="17">
        <f>FT1</f>
        <v>0</v>
      </c>
      <c r="FU2" s="17" t="str">
        <f>VLOOKUP(FU1,Data_lists!E10:F12,2,FALSE)</f>
        <v>Motor/ESC</v>
      </c>
      <c r="FV2" s="17">
        <f>FV1</f>
        <v>100</v>
      </c>
      <c r="FW2" s="17">
        <f>FW1</f>
        <v>100</v>
      </c>
      <c r="FX2" s="17" t="str">
        <f>VLOOKUP(FX1,Data_lists!H10:I12,2,FALSE)</f>
        <v>Linear</v>
      </c>
      <c r="FY2" s="17">
        <f t="shared" ref="FY2:GD2" si="1">IF(FY1&gt;127,-(256-FY1),FY1)</f>
        <v>15</v>
      </c>
      <c r="FZ2" s="17">
        <f t="shared" si="1"/>
        <v>20</v>
      </c>
      <c r="GA2" s="17">
        <f t="shared" si="1"/>
        <v>-15</v>
      </c>
      <c r="GB2" s="17">
        <f t="shared" si="1"/>
        <v>-20</v>
      </c>
      <c r="GC2" s="17">
        <f t="shared" si="1"/>
        <v>-40</v>
      </c>
      <c r="GD2" s="17">
        <f t="shared" si="1"/>
        <v>-50</v>
      </c>
      <c r="GE2" s="17" t="str">
        <f>VLOOKUP(GE1,Data_lists!K2:L4,2,FALSE)</f>
        <v>ON</v>
      </c>
      <c r="GF2" s="17" t="str">
        <f>VLOOKUP(GF1,Data_lists!K2:L4,2,FALSE)</f>
        <v>ON</v>
      </c>
      <c r="GG2" s="17" t="str">
        <f>VLOOKUP(GG1,Data_lists!K2:L4,2,FALSE)</f>
        <v>ON</v>
      </c>
      <c r="GH2" s="17" t="str">
        <f>VLOOKUP(GH1,Data_lists!K2:L4,2,FALSE)</f>
        <v>ON</v>
      </c>
      <c r="GI2" s="17" t="str">
        <f>VLOOKUP(GI1,Data_lists!K2:L4,2,FALSE)</f>
        <v>ON</v>
      </c>
      <c r="GJ2" s="17" t="str">
        <f>VLOOKUP(GJ1,Data_lists!K2:L4,2,FALSE)</f>
        <v>ON</v>
      </c>
      <c r="GK2" s="17" t="str">
        <f>VLOOKUP(GK1,Data_lists!K2:L4,2,FALSE)</f>
        <v>ON</v>
      </c>
      <c r="GL2" s="17" t="str">
        <f>VLOOKUP(GL1,Data_lists!K2:L4,2,FALSE)</f>
        <v>ON</v>
      </c>
      <c r="GM2" s="17" t="str">
        <f>VLOOKUP(GM1,Data_lists!K2:L4,2,FALSE)</f>
        <v>ON</v>
      </c>
      <c r="GN2" s="17" t="str">
        <f>VLOOKUP(GN1,Data_lists!K2:L4,2,FALSE)</f>
        <v>ON</v>
      </c>
      <c r="GO2" s="17" t="str">
        <f>VLOOKUP(GO1,Data_lists!K2:L4,2,FALSE)</f>
        <v>ON</v>
      </c>
      <c r="GP2" s="17" t="str">
        <f>VLOOKUP(GP1,Data_lists!K2:L4,2,FALSE)</f>
        <v>ON</v>
      </c>
      <c r="GQ2" s="17" t="str">
        <f>VLOOKUP(GQ1,Data_lists!K23:L43,2,FALSE)</f>
        <v>None</v>
      </c>
      <c r="GR2" s="17">
        <f>IF(GR1&gt;127,-(256-GR1),GR1)</f>
        <v>0</v>
      </c>
      <c r="GS2" s="17" t="str">
        <f>VLOOKUP(GS1,Data_lists!K23:L43,2,FALSE)</f>
        <v>None</v>
      </c>
      <c r="GT2" s="17">
        <f>IF(GT1&gt;127,-(256-GT1),GT1)</f>
        <v>0</v>
      </c>
      <c r="GU2" s="17" t="str">
        <f>VLOOKUP(GU1,Data_lists!K23:L43,2,FALSE)</f>
        <v>None</v>
      </c>
      <c r="GV2" s="17">
        <f>IF(GV1&gt;127,-(256-GV1),GV1)</f>
        <v>0</v>
      </c>
      <c r="GW2" s="17" t="str">
        <f>VLOOKUP(GW1,Data_lists!K23:L43,2,FALSE)</f>
        <v>None</v>
      </c>
      <c r="GX2" s="17">
        <f>IF(GX1&gt;127,-(256-GX1),GX1)</f>
        <v>0</v>
      </c>
      <c r="GY2" s="17">
        <f>GY1</f>
        <v>0</v>
      </c>
      <c r="GZ2" s="17">
        <f>GZ1</f>
        <v>0</v>
      </c>
      <c r="HA2" s="17">
        <f>HA1</f>
        <v>0</v>
      </c>
      <c r="HB2" s="17">
        <f>HB1</f>
        <v>0</v>
      </c>
      <c r="HC2" s="17" t="str">
        <f>VLOOKUP(HC1,Data_lists!E10:F12,2,FALSE)</f>
        <v>Motor/ESC</v>
      </c>
      <c r="HD2" s="17">
        <f>HD1</f>
        <v>100</v>
      </c>
      <c r="HE2" s="17">
        <f>HE1</f>
        <v>100</v>
      </c>
      <c r="HF2" s="17" t="str">
        <f>VLOOKUP(HF1,Data_lists!H10:I12,2,FALSE)</f>
        <v>Linear</v>
      </c>
      <c r="HG2" s="17">
        <f t="shared" ref="HG2:HL2" si="2">IF(HG1&gt;127,-(256-HG1),HG1)</f>
        <v>-15</v>
      </c>
      <c r="HH2" s="17">
        <f t="shared" si="2"/>
        <v>-20</v>
      </c>
      <c r="HI2" s="17">
        <f t="shared" si="2"/>
        <v>-15</v>
      </c>
      <c r="HJ2" s="17">
        <f t="shared" si="2"/>
        <v>-20</v>
      </c>
      <c r="HK2" s="17">
        <f t="shared" si="2"/>
        <v>40</v>
      </c>
      <c r="HL2" s="17">
        <f t="shared" si="2"/>
        <v>50</v>
      </c>
      <c r="HM2" s="17" t="str">
        <f>VLOOKUP(HM1,Data_lists!K2:L4,2,FALSE)</f>
        <v>ON</v>
      </c>
      <c r="HN2" s="17" t="str">
        <f>VLOOKUP(HN1,Data_lists!K2:L4,2,FALSE)</f>
        <v>ON</v>
      </c>
      <c r="HO2" s="17" t="str">
        <f>VLOOKUP(HO1,Data_lists!K2:L43,2,FALSE)</f>
        <v>ON</v>
      </c>
      <c r="HP2" s="17" t="str">
        <f>VLOOKUP(HP1,Data_lists!K2:L4,2,FALSE)</f>
        <v>ON</v>
      </c>
      <c r="HQ2" s="17" t="str">
        <f>VLOOKUP(HQ1,Data_lists!K2:L4,2,FALSE)</f>
        <v>ON</v>
      </c>
      <c r="HR2" s="17" t="str">
        <f>VLOOKUP(HR1,Data_lists!K2:L4,2,FALSE)</f>
        <v>ON</v>
      </c>
      <c r="HS2" s="17" t="str">
        <f>VLOOKUP(HS1,Data_lists!K2:L4,2,FALSE)</f>
        <v>ON</v>
      </c>
      <c r="HT2" s="17" t="str">
        <f>VLOOKUP(HT1,Data_lists!K2:L4,2,FALSE)</f>
        <v>ON</v>
      </c>
      <c r="HU2" s="17" t="str">
        <f>VLOOKUP(HU1,Data_lists!K2:L4,2,FALSE)</f>
        <v>ON</v>
      </c>
      <c r="HV2" s="17" t="str">
        <f>VLOOKUP(HV1,Data_lists!K2:L4,2,FALSE)</f>
        <v>ON</v>
      </c>
      <c r="HW2" s="17" t="str">
        <f>VLOOKUP(HW1,Data_lists!K2:L4,2,FALSE)</f>
        <v>ON</v>
      </c>
      <c r="HX2" s="17" t="str">
        <f>VLOOKUP(HX1,Data_lists!K2:L4,2,FALSE)</f>
        <v>ON</v>
      </c>
      <c r="HY2" s="17" t="str">
        <f>VLOOKUP(HY1,Data_lists!K23:L43,2,FALSE)</f>
        <v>None</v>
      </c>
      <c r="HZ2" s="17">
        <f>IF(HZ1&gt;127,-(256-HZ1),HZ1)</f>
        <v>0</v>
      </c>
      <c r="IA2" s="17" t="str">
        <f>VLOOKUP(IA1,Data_lists!K23:L43,2,FALSE)</f>
        <v>None</v>
      </c>
      <c r="IB2" s="17">
        <f>IF(IB1&gt;127,-(256-IB1),IB1)</f>
        <v>0</v>
      </c>
      <c r="IC2" s="17" t="str">
        <f>VLOOKUP(IC1,Data_lists!K23:L43,2,FALSE)</f>
        <v>None</v>
      </c>
      <c r="ID2" s="17">
        <f>IF(ID1&gt;127,-(256-ID1),ID1)</f>
        <v>0</v>
      </c>
      <c r="IE2" s="17" t="str">
        <f>VLOOKUP(IE1,Data_lists!K23:L43,2,FALSE)</f>
        <v>None</v>
      </c>
      <c r="IF2" s="17">
        <f>IF(IF1&gt;127,-(256-IF1),IF1)</f>
        <v>0</v>
      </c>
      <c r="IG2" s="17">
        <f>IG1</f>
        <v>0</v>
      </c>
      <c r="IH2" s="17">
        <f>IH1</f>
        <v>0</v>
      </c>
      <c r="II2" s="17">
        <f>II1</f>
        <v>0</v>
      </c>
      <c r="IJ2" s="17">
        <f>IJ1</f>
        <v>0</v>
      </c>
      <c r="IK2" s="17" t="str">
        <f>VLOOKUP(IK1,Data_lists!E10:F12,2,FALSE)</f>
        <v>Motor/ESC</v>
      </c>
      <c r="IL2" s="17">
        <f>IL1</f>
        <v>100</v>
      </c>
      <c r="IM2" s="17">
        <f>IM1</f>
        <v>100</v>
      </c>
      <c r="IN2" s="17" t="str">
        <f>VLOOKUP(IN1,Data_lists!H10:I12,2,FALSE)</f>
        <v>Linear</v>
      </c>
      <c r="IO2" s="17">
        <f t="shared" ref="IO2:IT2" si="3">IF(IO1&gt;127,-(256-IO1),IO1)</f>
        <v>-15</v>
      </c>
      <c r="IP2" s="17">
        <f t="shared" si="3"/>
        <v>-20</v>
      </c>
      <c r="IQ2" s="17">
        <f t="shared" si="3"/>
        <v>15</v>
      </c>
      <c r="IR2" s="17">
        <f t="shared" si="3"/>
        <v>20</v>
      </c>
      <c r="IS2" s="17">
        <f t="shared" si="3"/>
        <v>-40</v>
      </c>
      <c r="IT2" s="17">
        <f t="shared" si="3"/>
        <v>-50</v>
      </c>
      <c r="IU2" s="17" t="str">
        <f>VLOOKUP(IU1,Data_lists!K2:L4,2,FALSE)</f>
        <v>ON</v>
      </c>
      <c r="IV2" s="17" t="str">
        <f>VLOOKUP(IV1,Data_lists!K2:L4,2,FALSE)</f>
        <v>ON</v>
      </c>
      <c r="IW2" s="17" t="str">
        <f>VLOOKUP(IW1,Data_lists!K2:L4,2,FALSE)</f>
        <v>ON</v>
      </c>
      <c r="IX2" s="17" t="str">
        <f>VLOOKUP(IX1,Data_lists!K2:L4,2,FALSE)</f>
        <v>ON</v>
      </c>
      <c r="IY2" s="17" t="str">
        <f>VLOOKUP(IY1,Data_lists!K2:L4,2,FALSE)</f>
        <v>ON</v>
      </c>
      <c r="IZ2" s="17" t="str">
        <f>VLOOKUP(IZ1,Data_lists!K2:L4,2,FALSE)</f>
        <v>ON</v>
      </c>
      <c r="JA2" s="17" t="str">
        <f>VLOOKUP(JA1,Data_lists!K2:L4,2,FALSE)</f>
        <v>ON</v>
      </c>
      <c r="JB2" s="17" t="str">
        <f>VLOOKUP(JB1,Data_lists!K2:L4,2,FALSE)</f>
        <v>ON</v>
      </c>
      <c r="JC2" s="17" t="str">
        <f>VLOOKUP(JC1,Data_lists!K2:L4,2,FALSE)</f>
        <v>ON</v>
      </c>
      <c r="JD2" s="17" t="str">
        <f>VLOOKUP(JD1,Data_lists!K2:L4,2,FALSE)</f>
        <v>ON</v>
      </c>
      <c r="JE2" s="17" t="str">
        <f>VLOOKUP(JE1,Data_lists!K2:L4,2,FALSE)</f>
        <v>ON</v>
      </c>
      <c r="JF2" s="17" t="str">
        <f>VLOOKUP(JF1,Data_lists!K2:L4,2,FALSE)</f>
        <v>ON</v>
      </c>
      <c r="JG2" s="17" t="str">
        <f>VLOOKUP(JG1,Data_lists!K23:L43,2,FALSE)</f>
        <v>None</v>
      </c>
      <c r="JH2" s="17">
        <f>IF(JH1&gt;127,-(256-JH1),JH1)</f>
        <v>0</v>
      </c>
      <c r="JI2" s="17" t="str">
        <f>VLOOKUP(JI1,Data_lists!K23:L43,2,FALSE)</f>
        <v>None</v>
      </c>
      <c r="JJ2" s="17">
        <f>IF(JJ1&gt;127,-(256-JJ1),JJ1)</f>
        <v>0</v>
      </c>
      <c r="JK2" s="17" t="str">
        <f>VLOOKUP(JK1,Data_lists!K23:L43,2,FALSE)</f>
        <v>None</v>
      </c>
      <c r="JL2" s="17">
        <f>IF(JL1&gt;127,-(256-JL1),JL1)</f>
        <v>0</v>
      </c>
      <c r="JM2" s="17" t="str">
        <f>VLOOKUP(JM1,Data_lists!K23:L43,2,FALSE)</f>
        <v>None</v>
      </c>
      <c r="JN2" s="17">
        <f>IF(JN1&gt;127,-(256-JN1),JN1)</f>
        <v>0</v>
      </c>
      <c r="JO2" s="17">
        <f>JO1</f>
        <v>0</v>
      </c>
      <c r="JP2" s="17">
        <f>JP1</f>
        <v>0</v>
      </c>
      <c r="JQ2" s="17">
        <f>JQ1</f>
        <v>0</v>
      </c>
      <c r="JR2" s="17">
        <f>JR1</f>
        <v>0</v>
      </c>
      <c r="JS2" s="17" t="str">
        <f>VLOOKUP(JS1,Data_lists!E10:F12,2,FALSE)</f>
        <v>Motor/ESC</v>
      </c>
      <c r="JT2" s="17">
        <f>JT1</f>
        <v>100</v>
      </c>
      <c r="JU2" s="17">
        <f>JU1</f>
        <v>100</v>
      </c>
      <c r="JV2" s="17" t="str">
        <f>VLOOKUP(JV1,Data_lists!H10:I12,2,FALSE)</f>
        <v>Linear</v>
      </c>
      <c r="JW2" s="17">
        <f t="shared" ref="JW2:KB2" si="4">IF(JW1&gt;127,-(256-JW1),JW1)</f>
        <v>15</v>
      </c>
      <c r="JX2" s="17">
        <f t="shared" si="4"/>
        <v>20</v>
      </c>
      <c r="JY2" s="17">
        <f t="shared" si="4"/>
        <v>15</v>
      </c>
      <c r="JZ2" s="17">
        <f t="shared" si="4"/>
        <v>20</v>
      </c>
      <c r="KA2" s="17">
        <f t="shared" si="4"/>
        <v>40</v>
      </c>
      <c r="KB2" s="17">
        <f t="shared" si="4"/>
        <v>50</v>
      </c>
      <c r="KC2" s="17" t="str">
        <f>VLOOKUP(KC1,Data_lists!K2:L4,2,FALSE)</f>
        <v>ON</v>
      </c>
      <c r="KD2" s="17" t="str">
        <f>VLOOKUP(KD1,Data_lists!K2:L4,2,FALSE)</f>
        <v>ON</v>
      </c>
      <c r="KE2" s="17" t="str">
        <f>VLOOKUP(KE1,Data_lists!K2:L4,2,FALSE)</f>
        <v>ON</v>
      </c>
      <c r="KF2" s="17" t="str">
        <f>VLOOKUP(KF1,Data_lists!K2:L4,2,FALSE)</f>
        <v>ON</v>
      </c>
      <c r="KG2" s="17" t="str">
        <f>VLOOKUP(KG1,Data_lists!K2:L4,2,FALSE)</f>
        <v>ON</v>
      </c>
      <c r="KH2" s="17" t="str">
        <f>VLOOKUP(KH1,Data_lists!K2:L4,2,FALSE)</f>
        <v>ON</v>
      </c>
      <c r="KI2" s="17" t="str">
        <f>VLOOKUP(KI1,Data_lists!K2:L4,2,FALSE)</f>
        <v>ON</v>
      </c>
      <c r="KJ2" s="17" t="str">
        <f>VLOOKUP(KJ1,Data_lists!K2:L4,2,FALSE)</f>
        <v>ON</v>
      </c>
      <c r="KK2" s="17" t="str">
        <f>VLOOKUP(KK1,Data_lists!K2:L4,2,FALSE)</f>
        <v>ON</v>
      </c>
      <c r="KL2" s="17" t="str">
        <f>VLOOKUP(KL1,Data_lists!K2:L4,2,FALSE)</f>
        <v>ON</v>
      </c>
      <c r="KM2" s="17" t="str">
        <f>VLOOKUP(KM1,Data_lists!K2:L4,2,FALSE)</f>
        <v>ON</v>
      </c>
      <c r="KN2" s="17" t="str">
        <f>VLOOKUP(KN1,Data_lists!K2:L4,2,FALSE)</f>
        <v>ON</v>
      </c>
      <c r="KO2" s="17" t="str">
        <f>VLOOKUP(KO1,Data_lists!K23:L43,2,FALSE)</f>
        <v>None</v>
      </c>
      <c r="KP2" s="17">
        <f>IF(KP1&gt;127,-(256-KP1),KP1)</f>
        <v>0</v>
      </c>
      <c r="KQ2" s="17" t="str">
        <f>VLOOKUP(KQ1,Data_lists!K23:L43,2,FALSE)</f>
        <v>None</v>
      </c>
      <c r="KR2" s="17">
        <f>IF(KR1&gt;127,-(256-KR1),KR1)</f>
        <v>0</v>
      </c>
      <c r="KS2" s="17" t="str">
        <f>VLOOKUP(KS1,Data_lists!K23:L43,2,FALSE)</f>
        <v>None</v>
      </c>
      <c r="KT2" s="17">
        <f>IF(KT1&gt;127,-(256-KT1),KT1)</f>
        <v>0</v>
      </c>
      <c r="KU2" s="17" t="str">
        <f>VLOOKUP(KU1,Data_lists!K23:L43,2,FALSE)</f>
        <v>None</v>
      </c>
      <c r="KV2" s="17">
        <f>IF(KV1&gt;127,-(256-KV1),KV1)</f>
        <v>0</v>
      </c>
      <c r="KW2" s="17">
        <f>KW1</f>
        <v>0</v>
      </c>
      <c r="KX2" s="17">
        <f>KX1</f>
        <v>0</v>
      </c>
      <c r="KY2" s="17">
        <f>KY1</f>
        <v>0</v>
      </c>
      <c r="KZ2" s="17">
        <f>KZ1</f>
        <v>0</v>
      </c>
      <c r="LA2" s="17" t="str">
        <f>VLOOKUP(LA1,Data_lists!E10:F12,2,FALSE)</f>
        <v>Analog servo</v>
      </c>
      <c r="LB2" s="17">
        <f>LB1</f>
        <v>0</v>
      </c>
      <c r="LC2" s="17">
        <f>LC1</f>
        <v>0</v>
      </c>
      <c r="LD2" s="17" t="str">
        <f>VLOOKUP(LD1,Data_lists!H10:I12,2,FALSE)</f>
        <v>Linear</v>
      </c>
      <c r="LE2" s="17">
        <f t="shared" ref="LE2:LJ2" si="5">IF(LE1&gt;127,-(256-LE1),LE1)</f>
        <v>0</v>
      </c>
      <c r="LF2" s="17">
        <f t="shared" si="5"/>
        <v>0</v>
      </c>
      <c r="LG2" s="17">
        <f t="shared" si="5"/>
        <v>75</v>
      </c>
      <c r="LH2" s="17">
        <f t="shared" si="5"/>
        <v>100</v>
      </c>
      <c r="LI2" s="17">
        <f t="shared" si="5"/>
        <v>0</v>
      </c>
      <c r="LJ2" s="17">
        <f t="shared" si="5"/>
        <v>0</v>
      </c>
      <c r="LK2" s="17" t="str">
        <f>VLOOKUP(LK1,Data_lists!K2:L4,2,FALSE)</f>
        <v>OFF</v>
      </c>
      <c r="LL2" s="17" t="str">
        <f>VLOOKUP(LL1,Data_lists!K2:L4,2,FALSE)</f>
        <v>OFF</v>
      </c>
      <c r="LM2" s="17" t="str">
        <f>VLOOKUP(LM1,Data_lists!K2:L4,2,FALSE)</f>
        <v>OFF</v>
      </c>
      <c r="LN2" s="17" t="str">
        <f>VLOOKUP(LN1,Data_lists!K2:L4,2,FALSE)</f>
        <v>OFF</v>
      </c>
      <c r="LO2" s="17" t="str">
        <f>VLOOKUP(LO1,Data_lists!K2:L4,2,FALSE)</f>
        <v>OFF</v>
      </c>
      <c r="LP2" s="17" t="str">
        <f>VLOOKUP(LP1,Data_lists!K2:L4,2,FALSE)</f>
        <v>OFF</v>
      </c>
      <c r="LQ2" s="17" t="str">
        <f>VLOOKUP(LQ1,Data_lists!K2:L4,2,FALSE)</f>
        <v>OFF</v>
      </c>
      <c r="LR2" s="17" t="str">
        <f>VLOOKUP(LR1,Data_lists!K2:L4,2,FALSE)</f>
        <v>OFF</v>
      </c>
      <c r="LS2" s="17" t="str">
        <f>VLOOKUP(LS1,Data_lists!K2:L4,2,FALSE)</f>
        <v>OFF</v>
      </c>
      <c r="LT2" s="17" t="str">
        <f>VLOOKUP(LT1,Data_lists!K2:L4,2,FALSE)</f>
        <v>OFF</v>
      </c>
      <c r="LU2" s="17" t="str">
        <f>VLOOKUP(LU1,Data_lists!K2:L4,2,FALSE)</f>
        <v>OFF</v>
      </c>
      <c r="LV2" s="17" t="str">
        <f>VLOOKUP(LV1,Data_lists!K2:L4,2,FALSE)</f>
        <v>OFF</v>
      </c>
      <c r="LW2" s="17" t="str">
        <f>VLOOKUP(LW1,Data_lists!K23:L43,2,FALSE)</f>
        <v>None</v>
      </c>
      <c r="LX2" s="17">
        <f>IF(LX1&gt;127,-(256-LX1),LX1)</f>
        <v>0</v>
      </c>
      <c r="LY2" s="17" t="str">
        <f>VLOOKUP(LY1,Data_lists!K23:L43,2,FALSE)</f>
        <v>None</v>
      </c>
      <c r="LZ2" s="17">
        <f>IF(LZ1&gt;127,-(256-LZ1),LZ1)</f>
        <v>0</v>
      </c>
      <c r="MA2" s="17" t="str">
        <f>VLOOKUP(MA1,Data_lists!K23:L43,2,FALSE)</f>
        <v>None</v>
      </c>
      <c r="MB2" s="17">
        <f>IF(MB1&gt;127,-(256-MB1),MB1)</f>
        <v>0</v>
      </c>
      <c r="MC2" s="17" t="str">
        <f>VLOOKUP(MC1,Data_lists!K23:L43,2,FALSE)</f>
        <v>None</v>
      </c>
      <c r="MD2" s="17">
        <f>IF(MD1&gt;127,-(256-MD1),MD1)</f>
        <v>0</v>
      </c>
      <c r="ME2" s="17">
        <f>ME1</f>
        <v>0</v>
      </c>
      <c r="MF2" s="17">
        <f>MF1</f>
        <v>0</v>
      </c>
      <c r="MG2" s="17">
        <f>MG1</f>
        <v>0</v>
      </c>
      <c r="MH2" s="17">
        <f>MH1</f>
        <v>0</v>
      </c>
      <c r="MI2" s="17" t="str">
        <f>VLOOKUP(MI1,Data_lists!E10:F12,2,FALSE)</f>
        <v>Analog servo</v>
      </c>
      <c r="MJ2" s="17">
        <f>MJ1</f>
        <v>0</v>
      </c>
      <c r="MK2" s="17">
        <f>MK1</f>
        <v>0</v>
      </c>
      <c r="ML2" s="17" t="str">
        <f>VLOOKUP(ML1,Data_lists!H10:I12,2,FALSE)</f>
        <v>Linear</v>
      </c>
      <c r="MM2" s="17">
        <f t="shared" ref="MM2:MR2" si="6">IF(MM1&gt;127,-(256-MM1),MM1)</f>
        <v>75</v>
      </c>
      <c r="MN2" s="17">
        <f t="shared" si="6"/>
        <v>100</v>
      </c>
      <c r="MO2" s="17">
        <f t="shared" si="6"/>
        <v>0</v>
      </c>
      <c r="MP2" s="17">
        <f t="shared" si="6"/>
        <v>0</v>
      </c>
      <c r="MQ2" s="17">
        <f t="shared" si="6"/>
        <v>0</v>
      </c>
      <c r="MR2" s="17">
        <f t="shared" si="6"/>
        <v>0</v>
      </c>
      <c r="MS2" s="17" t="str">
        <f>VLOOKUP(MS1,Data_lists!K2:L4,2,FALSE)</f>
        <v>OFF</v>
      </c>
      <c r="MT2" s="17" t="str">
        <f>VLOOKUP(MT1,Data_lists!K2:L4,2,FALSE)</f>
        <v>OFF</v>
      </c>
      <c r="MU2" s="17" t="str">
        <f>VLOOKUP(MU1,Data_lists!K2:L4,2,FALSE)</f>
        <v>OFF</v>
      </c>
      <c r="MV2" s="17" t="str">
        <f>VLOOKUP(MV1,Data_lists!K2:L4,2,FALSE)</f>
        <v>OFF</v>
      </c>
      <c r="MW2" s="17" t="str">
        <f>VLOOKUP(MW1,Data_lists!K2:L4,2,FALSE)</f>
        <v>OFF</v>
      </c>
      <c r="MX2" s="17" t="str">
        <f>VLOOKUP(MX1,Data_lists!K2:L4,2,FALSE)</f>
        <v>OFF</v>
      </c>
      <c r="MY2" s="17" t="str">
        <f>VLOOKUP(MY1,Data_lists!K2:L4,2,FALSE)</f>
        <v>OFF</v>
      </c>
      <c r="MZ2" s="17" t="str">
        <f>VLOOKUP(MZ1,Data_lists!K2:L4,2,FALSE)</f>
        <v>OFF</v>
      </c>
      <c r="NA2" s="17" t="str">
        <f>VLOOKUP(NA1,Data_lists!K2:L4,2,FALSE)</f>
        <v>OFF</v>
      </c>
      <c r="NB2" s="17" t="str">
        <f>VLOOKUP(NB1,Data_lists!K2:L4,2,FALSE)</f>
        <v>OFF</v>
      </c>
      <c r="NC2" s="17" t="str">
        <f>VLOOKUP(NC1,Data_lists!K2:L4,2,FALSE)</f>
        <v>OFF</v>
      </c>
      <c r="ND2" s="17" t="str">
        <f>VLOOKUP(ND1,Data_lists!K2:L4,2,FALSE)</f>
        <v>OFF</v>
      </c>
      <c r="NE2" s="17" t="str">
        <f>VLOOKUP(NE1,Data_lists!K23:L43,2,FALSE)</f>
        <v>None</v>
      </c>
      <c r="NF2" s="17">
        <f>IF(NF1&gt;127,-(256-NF1),NF1)</f>
        <v>0</v>
      </c>
      <c r="NG2" s="17" t="str">
        <f>VLOOKUP(NG1,Data_lists!K23:L43,2,FALSE)</f>
        <v>None</v>
      </c>
      <c r="NH2" s="17">
        <f>IF(NH1&gt;127,-(256-NH1),NH1)</f>
        <v>0</v>
      </c>
      <c r="NI2" s="17" t="str">
        <f>VLOOKUP(NI1,Data_lists!K23:L43,2,FALSE)</f>
        <v>None</v>
      </c>
      <c r="NJ2" s="17">
        <f>IF(NJ1&gt;127,-(256-NJ1),NJ1)</f>
        <v>0</v>
      </c>
      <c r="NK2" s="17" t="str">
        <f>VLOOKUP(NK1,Data_lists!K23:L43,2,FALSE)</f>
        <v>None</v>
      </c>
      <c r="NL2" s="17">
        <f>IF(NL1&gt;127,-(256-NL1),NL1)</f>
        <v>0</v>
      </c>
      <c r="NM2" s="17">
        <f>NM1</f>
        <v>0</v>
      </c>
      <c r="NN2" s="17">
        <f>NN1</f>
        <v>0</v>
      </c>
      <c r="NO2" s="17">
        <f>NO1</f>
        <v>0</v>
      </c>
      <c r="NP2" s="17">
        <f>NP1</f>
        <v>0</v>
      </c>
      <c r="NQ2" s="17" t="str">
        <f>VLOOKUP(NQ1,Data_lists!E10:F12,2,FALSE)</f>
        <v>Analog servo</v>
      </c>
      <c r="NR2" s="17">
        <f>NR1</f>
        <v>0</v>
      </c>
      <c r="NS2" s="17">
        <f>NS1</f>
        <v>0</v>
      </c>
      <c r="NT2" s="17" t="str">
        <f>VLOOKUP(NT1,Data_lists!H10:I12,2,FALSE)</f>
        <v>Linear</v>
      </c>
      <c r="NU2" s="17">
        <f t="shared" ref="NU2:NZ2" si="7">IF(NU1&gt;127,-(256-NU1),NU1)</f>
        <v>0</v>
      </c>
      <c r="NV2" s="17">
        <f t="shared" si="7"/>
        <v>0</v>
      </c>
      <c r="NW2" s="17">
        <f t="shared" si="7"/>
        <v>0</v>
      </c>
      <c r="NX2" s="17">
        <f t="shared" si="7"/>
        <v>0</v>
      </c>
      <c r="NY2" s="17">
        <f t="shared" si="7"/>
        <v>75</v>
      </c>
      <c r="NZ2" s="17">
        <f t="shared" si="7"/>
        <v>100</v>
      </c>
      <c r="OA2" s="17" t="str">
        <f>VLOOKUP(OA1,Data_lists!K2:L4,2,FALSE)</f>
        <v>OFF</v>
      </c>
      <c r="OB2" s="17" t="str">
        <f>VLOOKUP(OB1,Data_lists!K2:L4,2,FALSE)</f>
        <v>OFF</v>
      </c>
      <c r="OC2" s="17" t="str">
        <f>VLOOKUP(OC1,Data_lists!K2:L4,2,FALSE)</f>
        <v>OFF</v>
      </c>
      <c r="OD2" s="17" t="str">
        <f>VLOOKUP(OD1,Data_lists!K2:L4,2,FALSE)</f>
        <v>OFF</v>
      </c>
      <c r="OE2" s="17" t="str">
        <f>VLOOKUP(OE1,Data_lists!K2:L4,2,FALSE)</f>
        <v>OFF</v>
      </c>
      <c r="OF2" s="17" t="str">
        <f>VLOOKUP(OF1,Data_lists!K2:L4,2,FALSE)</f>
        <v>OFF</v>
      </c>
      <c r="OG2" s="17" t="str">
        <f>VLOOKUP(OG1,Data_lists!K2:L4,2,FALSE)</f>
        <v>OFF</v>
      </c>
      <c r="OH2" s="17" t="str">
        <f>VLOOKUP(OH1,Data_lists!K2:L4,2,FALSE)</f>
        <v>OFF</v>
      </c>
      <c r="OI2" s="17" t="str">
        <f>VLOOKUP(OI1,Data_lists!K2:L4,2,FALSE)</f>
        <v>OFF</v>
      </c>
      <c r="OJ2" s="17" t="str">
        <f>VLOOKUP(OJ1,Data_lists!K2:L4,2,FALSE)</f>
        <v>OFF</v>
      </c>
      <c r="OK2" s="17" t="str">
        <f>VLOOKUP(OK1,Data_lists!K2:L4,2,FALSE)</f>
        <v>OFF</v>
      </c>
      <c r="OL2" s="17" t="str">
        <f>VLOOKUP(OL1,Data_lists!K2:L4,2,FALSE)</f>
        <v>OFF</v>
      </c>
      <c r="OM2" s="17" t="str">
        <f>VLOOKUP(OM1,Data_lists!K23:L43,2,FALSE)</f>
        <v>None</v>
      </c>
      <c r="ON2" s="17">
        <f>IF(ON1&gt;127,-(256-ON1),ON1)</f>
        <v>0</v>
      </c>
      <c r="OO2" s="17" t="str">
        <f>VLOOKUP(OO1,Data_lists!K23:L43,2,FALSE)</f>
        <v>None</v>
      </c>
      <c r="OP2" s="17">
        <f>IF(OP1&gt;127,-(256-OP1),OP1)</f>
        <v>0</v>
      </c>
      <c r="OQ2" s="17" t="str">
        <f>VLOOKUP(OQ1,Data_lists!K23:L43,2,FALSE)</f>
        <v>None</v>
      </c>
      <c r="OR2" s="17">
        <f>IF(OR1&gt;127,-(256-OR1),OR1)</f>
        <v>0</v>
      </c>
      <c r="OS2" s="17" t="str">
        <f>VLOOKUP(OS1,Data_lists!K23:L43,2,FALSE)</f>
        <v>None</v>
      </c>
      <c r="OT2" s="17">
        <f>IF(OT1&gt;127,-(256-OT1),OT1)</f>
        <v>0</v>
      </c>
      <c r="OU2" s="17">
        <f>OU1</f>
        <v>0</v>
      </c>
      <c r="OV2" s="17">
        <f>OV1</f>
        <v>0</v>
      </c>
      <c r="OW2" s="17">
        <f>OW1</f>
        <v>0</v>
      </c>
      <c r="OX2" s="17">
        <f>OX1</f>
        <v>0</v>
      </c>
      <c r="OY2" s="17" t="str">
        <f>VLOOKUP(OY1,Data_lists!E10:F12,2,FALSE)</f>
        <v>Analog servo</v>
      </c>
      <c r="OZ2" s="17">
        <f>OZ1</f>
        <v>0</v>
      </c>
      <c r="PA2" s="17">
        <f>PA1</f>
        <v>0</v>
      </c>
      <c r="PB2" s="17" t="str">
        <f>VLOOKUP(PB1,Data_lists!H10:I12,2,FALSE)</f>
        <v>Linear</v>
      </c>
      <c r="PC2" s="17">
        <f t="shared" ref="PC2:PH2" si="8">IF(PC1&gt;127,-(256-PC1),PC1)</f>
        <v>0</v>
      </c>
      <c r="PD2" s="17">
        <f t="shared" si="8"/>
        <v>0</v>
      </c>
      <c r="PE2" s="17">
        <f t="shared" si="8"/>
        <v>0</v>
      </c>
      <c r="PF2" s="17">
        <f t="shared" si="8"/>
        <v>0</v>
      </c>
      <c r="PG2" s="17">
        <f t="shared" si="8"/>
        <v>0</v>
      </c>
      <c r="PH2" s="17">
        <f t="shared" si="8"/>
        <v>0</v>
      </c>
      <c r="PI2" s="17" t="str">
        <f>VLOOKUP(PI1,Data_lists!K2:L4,2,FALSE)</f>
        <v>OFF</v>
      </c>
      <c r="PJ2" s="17" t="str">
        <f>VLOOKUP(PJ1,Data_lists!K2:L4,2,FALSE)</f>
        <v>OFF</v>
      </c>
      <c r="PK2" s="17" t="str">
        <f>VLOOKUP(PK1,Data_lists!K2:L4,2,FALSE)</f>
        <v>OFF</v>
      </c>
      <c r="PL2" s="17" t="str">
        <f>VLOOKUP(PL1,Data_lists!K2:L4,2,FALSE)</f>
        <v>OFF</v>
      </c>
      <c r="PM2" s="17" t="str">
        <f>VLOOKUP(PM1,Data_lists!K2:L4,2,FALSE)</f>
        <v>OFF</v>
      </c>
      <c r="PN2" s="17" t="str">
        <f>VLOOKUP(PN1,Data_lists!K2:L4,2,FALSE)</f>
        <v>OFF</v>
      </c>
      <c r="PO2" s="17" t="str">
        <f>VLOOKUP(PO1,Data_lists!K2:L4,2,FALSE)</f>
        <v>OFF</v>
      </c>
      <c r="PP2" s="17" t="str">
        <f>VLOOKUP(PP1,Data_lists!K2:L4,2,FALSE)</f>
        <v>OFF</v>
      </c>
      <c r="PQ2" s="17" t="str">
        <f>VLOOKUP(PQ1,Data_lists!K2:L4,2,FALSE)</f>
        <v>OFF</v>
      </c>
      <c r="PR2" s="17" t="str">
        <f>VLOOKUP(PR1,Data_lists!K2:L4,2,FALSE)</f>
        <v>OFF</v>
      </c>
      <c r="PS2" s="17" t="str">
        <f>VLOOKUP(PS1,Data_lists!K2:L4,2,FALSE)</f>
        <v>OFF</v>
      </c>
      <c r="PT2" s="17" t="str">
        <f>VLOOKUP(PT1,Data_lists!K2:L4,2,FALSE)</f>
        <v>OFF</v>
      </c>
      <c r="PU2" s="17" t="str">
        <f>VLOOKUP(PU1,Data_lists!K23:L43,2,FALSE)</f>
        <v>None</v>
      </c>
      <c r="PV2" s="17">
        <f>IF(PV1&gt;127,-(256-PV1),PV1)</f>
        <v>0</v>
      </c>
      <c r="PW2" s="17" t="str">
        <f>VLOOKUP(PW1,Data_lists!K23:L43,2,FALSE)</f>
        <v>None</v>
      </c>
      <c r="PX2" s="17">
        <f>IF(PX1&gt;127,-(256-PX1),PX1)</f>
        <v>0</v>
      </c>
      <c r="PY2" s="17" t="str">
        <f>VLOOKUP(PY1,Data_lists!K23:L43,2,FALSE)</f>
        <v>None</v>
      </c>
      <c r="PZ2" s="17">
        <f>IF(PZ1&gt;127,-(256-PZ1),PZ1)</f>
        <v>0</v>
      </c>
      <c r="QA2" s="17" t="str">
        <f>VLOOKUP(QA1,Data_lists!K23:L43,2,FALSE)</f>
        <v>None</v>
      </c>
      <c r="QB2" s="17">
        <f>IF(QB1&gt;127,-(256-QB1),QB1)</f>
        <v>0</v>
      </c>
      <c r="QC2" s="17" t="str">
        <f>VLOOKUP(QC1,Data_lists!K10:L11,2,FALSE)</f>
        <v>Normal</v>
      </c>
      <c r="QD2" s="17" t="str">
        <f>VLOOKUP(QD1,Data_lists!K10:L11,2,FALSE)</f>
        <v>Normal</v>
      </c>
      <c r="QE2" s="17" t="str">
        <f>VLOOKUP(QE1,Data_lists!K10:L11,2,FALSE)</f>
        <v>Normal</v>
      </c>
      <c r="QF2" s="17" t="str">
        <f>VLOOKUP(QF1,Data_lists!K10:L11,2,FALSE)</f>
        <v>Normal</v>
      </c>
      <c r="QG2" s="17" t="str">
        <f>VLOOKUP(QG1,Data_lists!K10:L11,2,FALSE)</f>
        <v>Normal</v>
      </c>
      <c r="QH2" s="17" t="str">
        <f>VLOOKUP(QC1,Data_lists!K10:L11,2,FALSE)</f>
        <v>Normal</v>
      </c>
      <c r="QI2" s="17" t="str">
        <f>VLOOKUP(QI1,Data_lists!K10:L11,2,FALSE)</f>
        <v>Normal</v>
      </c>
      <c r="QJ2" s="17" t="str">
        <f>VLOOKUP(QJ1,Data_lists!K10:L11,2,FALSE)</f>
        <v>Normal</v>
      </c>
      <c r="QK2" s="17">
        <f>IF(QK1&gt;127,-(256-QK1),QK1)</f>
        <v>-100</v>
      </c>
      <c r="QL2" s="17">
        <f t="shared" ref="QL2:QZ2" si="9">IF(QL1&gt;127,-(256-QL1),QL1)</f>
        <v>-100</v>
      </c>
      <c r="QM2" s="17">
        <f t="shared" si="9"/>
        <v>-100</v>
      </c>
      <c r="QN2" s="17">
        <f t="shared" si="9"/>
        <v>-100</v>
      </c>
      <c r="QO2" s="17">
        <f t="shared" si="9"/>
        <v>-100</v>
      </c>
      <c r="QP2" s="17">
        <f t="shared" si="9"/>
        <v>-100</v>
      </c>
      <c r="QQ2" s="17">
        <f t="shared" si="9"/>
        <v>-100</v>
      </c>
      <c r="QR2" s="17">
        <f t="shared" si="9"/>
        <v>-100</v>
      </c>
      <c r="QS2" s="17">
        <f t="shared" si="9"/>
        <v>100</v>
      </c>
      <c r="QT2" s="17">
        <f t="shared" si="9"/>
        <v>100</v>
      </c>
      <c r="QU2" s="17">
        <f t="shared" si="9"/>
        <v>100</v>
      </c>
      <c r="QV2" s="17">
        <f t="shared" si="9"/>
        <v>100</v>
      </c>
      <c r="QW2" s="17">
        <f t="shared" si="9"/>
        <v>100</v>
      </c>
      <c r="QX2" s="17">
        <f t="shared" si="9"/>
        <v>100</v>
      </c>
      <c r="QY2" s="17">
        <f t="shared" si="9"/>
        <v>100</v>
      </c>
      <c r="QZ2" s="17">
        <f t="shared" si="9"/>
        <v>100</v>
      </c>
      <c r="RA2" s="17"/>
      <c r="RB2" s="17"/>
      <c r="RC2" s="17"/>
      <c r="RD2" s="17"/>
      <c r="RE2" s="17"/>
      <c r="RF2" s="17"/>
      <c r="RG2" s="17"/>
      <c r="RH2" s="17"/>
      <c r="RI2" s="17"/>
      <c r="RJ2" s="17"/>
      <c r="RK2" s="17"/>
      <c r="RL2" s="17"/>
      <c r="RM2" s="17"/>
      <c r="RN2" s="17"/>
      <c r="RO2" s="17"/>
      <c r="RP2" s="17"/>
      <c r="RQ2" s="17"/>
      <c r="RR2" s="17"/>
      <c r="RS2" s="17"/>
      <c r="RT2" s="17"/>
      <c r="RU2" s="17"/>
      <c r="RV2" s="17"/>
      <c r="RW2" s="17"/>
      <c r="RX2" s="17"/>
      <c r="RY2" s="17"/>
      <c r="RZ2" s="17"/>
      <c r="SA2" s="17"/>
      <c r="SB2" s="17"/>
      <c r="SC2" s="17"/>
      <c r="SD2" s="17"/>
      <c r="SE2" s="17"/>
      <c r="SF2" s="17"/>
      <c r="SG2" s="17"/>
      <c r="SH2" s="17"/>
      <c r="SI2" s="17"/>
      <c r="SJ2" s="17"/>
      <c r="SK2" s="17"/>
      <c r="SL2" s="17"/>
      <c r="SM2" s="17"/>
      <c r="SN2" s="17"/>
      <c r="SO2" s="17"/>
      <c r="SP2" s="17"/>
      <c r="SQ2" s="17"/>
      <c r="SR2" s="17"/>
      <c r="SS2" s="17"/>
      <c r="ST2" s="17"/>
      <c r="SU2" s="17"/>
      <c r="SV2" s="17"/>
      <c r="SW2" s="17"/>
      <c r="SX2" s="17"/>
      <c r="SY2" s="17"/>
      <c r="SZ2" s="17"/>
      <c r="TA2" s="17"/>
      <c r="TB2" s="17"/>
      <c r="TC2" s="17"/>
      <c r="TD2" s="17"/>
      <c r="TE2" s="17"/>
      <c r="TF2" s="17"/>
      <c r="TG2" s="17"/>
      <c r="TH2" s="17"/>
      <c r="TI2" s="17"/>
      <c r="TJ2" s="17"/>
      <c r="TK2" s="17"/>
      <c r="TL2" s="17"/>
      <c r="TM2" s="17"/>
      <c r="TN2" s="17"/>
      <c r="TO2" s="17"/>
      <c r="TP2" s="17"/>
      <c r="TQ2" s="17"/>
      <c r="TR2" s="17"/>
      <c r="TS2" s="17"/>
      <c r="TT2" s="17"/>
      <c r="TU2" s="17"/>
      <c r="TV2" s="17"/>
      <c r="TW2" s="17"/>
      <c r="TX2" s="17"/>
      <c r="TY2" s="17"/>
      <c r="TZ2" s="17"/>
      <c r="UA2" s="17"/>
      <c r="UB2" s="17"/>
      <c r="UC2" s="17"/>
      <c r="UD2" s="17"/>
      <c r="UE2" s="17"/>
      <c r="UF2" s="17"/>
      <c r="UG2" s="17"/>
      <c r="UH2" s="17"/>
      <c r="UI2" s="17"/>
      <c r="UJ2" s="17"/>
      <c r="UK2" s="17">
        <f>UK1</f>
        <v>0</v>
      </c>
      <c r="UL2" s="17">
        <f t="shared" ref="UL2:VP2" si="10">UL1</f>
        <v>17</v>
      </c>
      <c r="UM2" s="17">
        <f t="shared" si="10"/>
        <v>33</v>
      </c>
      <c r="UN2" s="17">
        <f t="shared" si="10"/>
        <v>50</v>
      </c>
      <c r="UO2" s="17">
        <f t="shared" si="10"/>
        <v>67</v>
      </c>
      <c r="UP2" s="17">
        <f t="shared" si="10"/>
        <v>83</v>
      </c>
      <c r="UQ2" s="17">
        <f t="shared" si="10"/>
        <v>100</v>
      </c>
      <c r="UR2" s="17">
        <f t="shared" si="10"/>
        <v>0</v>
      </c>
      <c r="US2" s="17">
        <f t="shared" si="10"/>
        <v>0</v>
      </c>
      <c r="UT2" s="17">
        <f t="shared" si="10"/>
        <v>17</v>
      </c>
      <c r="UU2" s="17">
        <f t="shared" si="10"/>
        <v>33</v>
      </c>
      <c r="UV2" s="17">
        <f t="shared" si="10"/>
        <v>50</v>
      </c>
      <c r="UW2" s="17">
        <f t="shared" si="10"/>
        <v>67</v>
      </c>
      <c r="UX2" s="17">
        <f t="shared" si="10"/>
        <v>83</v>
      </c>
      <c r="UY2" s="17">
        <f t="shared" si="10"/>
        <v>100</v>
      </c>
      <c r="UZ2" s="17">
        <f t="shared" si="10"/>
        <v>0</v>
      </c>
      <c r="VA2" s="17">
        <f>IF(VA1&gt;127,-(256-VA1),VA1)</f>
        <v>-100</v>
      </c>
      <c r="VB2" s="17">
        <f t="shared" ref="VB2:VG2" si="11">IF(VB1&gt;127,-(256-VB1),VB1)</f>
        <v>-67</v>
      </c>
      <c r="VC2" s="17">
        <f t="shared" si="11"/>
        <v>-33</v>
      </c>
      <c r="VD2" s="17">
        <f t="shared" si="11"/>
        <v>0</v>
      </c>
      <c r="VE2" s="17">
        <f t="shared" si="11"/>
        <v>33</v>
      </c>
      <c r="VF2" s="17">
        <f t="shared" si="11"/>
        <v>67</v>
      </c>
      <c r="VG2" s="17">
        <f t="shared" si="11"/>
        <v>100</v>
      </c>
      <c r="VH2" s="17">
        <f>VH1</f>
        <v>0</v>
      </c>
      <c r="VI2" s="17">
        <f t="shared" ref="VI2:VO2" si="12">IF(VI1&gt;127,-(256-VI1),VI1)</f>
        <v>-100</v>
      </c>
      <c r="VJ2" s="17">
        <f t="shared" si="12"/>
        <v>-67</v>
      </c>
      <c r="VK2" s="17">
        <f t="shared" si="12"/>
        <v>-33</v>
      </c>
      <c r="VL2" s="17">
        <f t="shared" si="12"/>
        <v>0</v>
      </c>
      <c r="VM2" s="17">
        <f t="shared" si="12"/>
        <v>33</v>
      </c>
      <c r="VN2" s="17">
        <f t="shared" si="12"/>
        <v>67</v>
      </c>
      <c r="VO2" s="17">
        <f t="shared" si="12"/>
        <v>100</v>
      </c>
      <c r="VP2" s="17">
        <f t="shared" si="10"/>
        <v>0</v>
      </c>
      <c r="VQ2" s="17">
        <f>IF(VQ1&gt;127,-(256-VQ1),VQ1)</f>
        <v>-100</v>
      </c>
      <c r="VR2" s="17">
        <f t="shared" ref="VR2:VW2" si="13">IF(VR1&gt;127,-(256-VR1),VR1)</f>
        <v>-67</v>
      </c>
      <c r="VS2" s="17">
        <f t="shared" si="13"/>
        <v>-33</v>
      </c>
      <c r="VT2" s="17">
        <f t="shared" si="13"/>
        <v>0</v>
      </c>
      <c r="VU2" s="17">
        <f t="shared" si="13"/>
        <v>33</v>
      </c>
      <c r="VV2" s="17">
        <f t="shared" si="13"/>
        <v>67</v>
      </c>
      <c r="VW2" s="17">
        <f t="shared" si="13"/>
        <v>100</v>
      </c>
      <c r="VX2" s="17" t="str">
        <f xml:space="preserve"> VLOOKUP(Settings!VX1,Data_lists!K23:L43,2,FALSE)</f>
        <v>None</v>
      </c>
      <c r="VY2" s="17">
        <f>IF(VY1&gt;127,-(256-VY1),VY1)</f>
        <v>-100</v>
      </c>
      <c r="VZ2" s="17">
        <f t="shared" ref="VZ2:WD2" si="14">IF(VZ1&gt;127,-(256-VZ1),VZ1)</f>
        <v>-67</v>
      </c>
      <c r="WA2" s="17">
        <f t="shared" si="14"/>
        <v>-33</v>
      </c>
      <c r="WB2" s="17">
        <f t="shared" si="14"/>
        <v>0</v>
      </c>
      <c r="WC2" s="17">
        <f t="shared" si="14"/>
        <v>33</v>
      </c>
      <c r="WD2" s="17">
        <f t="shared" si="14"/>
        <v>67</v>
      </c>
      <c r="WE2" s="17">
        <f>IF(WE1&gt;127,-(256-WE1),WE1)</f>
        <v>100</v>
      </c>
      <c r="WF2" s="17" t="str">
        <f xml:space="preserve"> VLOOKUP(Settings!WF1,Data_lists!K23:L43,2,FALSE)</f>
        <v>None</v>
      </c>
      <c r="WG2" s="17" t="str">
        <f xml:space="preserve"> VLOOKUP(Settings!WG1,Data_lists!B2:C9,2,FALSE)</f>
        <v>THROTTLE</v>
      </c>
      <c r="WH2" s="17" t="str">
        <f xml:space="preserve"> VLOOKUP(Settings!WH1,Data_lists!B2:C9,2,FALSE)</f>
        <v>AILERON</v>
      </c>
      <c r="WI2" s="17" t="str">
        <f xml:space="preserve"> VLOOKUP(Settings!WI1,Data_lists!B2:C9,2,FALSE)</f>
        <v>ELEVATOR</v>
      </c>
      <c r="WJ2" s="17" t="str">
        <f xml:space="preserve"> VLOOKUP(Settings!WJ1,Data_lists!B2:C9,2,FALSE)</f>
        <v>RUDDER</v>
      </c>
      <c r="WK2" s="17" t="str">
        <f xml:space="preserve"> VLOOKUP(Settings!WK1,Data_lists!B2:C9,2,FALSE)</f>
        <v>GEAR</v>
      </c>
      <c r="WL2" s="17" t="str">
        <f xml:space="preserve"> VLOOKUP(Settings!WL1,Data_lists!B2:C9,2,FALSE)</f>
        <v>AUX1</v>
      </c>
      <c r="WM2" s="17" t="str">
        <f xml:space="preserve"> VLOOKUP(Settings!WM1,Data_lists!B2:C9,2,FALSE)</f>
        <v>AUX2</v>
      </c>
      <c r="WN2" s="17" t="str">
        <f xml:space="preserve"> VLOOKUP(Settings!WN1,Data_lists!B2:C9,2,FALSE)</f>
        <v>AUX3</v>
      </c>
      <c r="WO2" s="17">
        <f>IF(WO1&gt;127,-(256-WO1),WO1)</f>
        <v>0</v>
      </c>
      <c r="WP2" s="17">
        <f t="shared" ref="WP2:YY2" si="15">IF(WP1&gt;127,-(256-WP1),WP1)</f>
        <v>0</v>
      </c>
      <c r="WQ2" s="17">
        <f t="shared" si="15"/>
        <v>0</v>
      </c>
      <c r="WR2" s="17">
        <f t="shared" si="15"/>
        <v>0</v>
      </c>
      <c r="WS2" s="17">
        <f t="shared" si="15"/>
        <v>0</v>
      </c>
      <c r="WT2" s="17">
        <f t="shared" si="15"/>
        <v>0</v>
      </c>
      <c r="WU2" s="17">
        <f t="shared" si="15"/>
        <v>0</v>
      </c>
      <c r="WV2" s="17">
        <f>WV1</f>
        <v>0</v>
      </c>
      <c r="WW2" s="17">
        <f t="shared" si="15"/>
        <v>0</v>
      </c>
      <c r="WX2" s="17">
        <f t="shared" si="15"/>
        <v>0</v>
      </c>
      <c r="WY2" s="17">
        <f t="shared" si="15"/>
        <v>0</v>
      </c>
      <c r="WZ2" s="17">
        <f t="shared" si="15"/>
        <v>0</v>
      </c>
      <c r="XA2" s="17">
        <f t="shared" si="15"/>
        <v>0</v>
      </c>
      <c r="XB2" s="17">
        <f t="shared" si="15"/>
        <v>0</v>
      </c>
      <c r="XC2" s="17">
        <f t="shared" si="15"/>
        <v>0</v>
      </c>
      <c r="XD2" s="17">
        <f>XD1</f>
        <v>0</v>
      </c>
      <c r="XE2" s="17">
        <f t="shared" si="15"/>
        <v>0</v>
      </c>
      <c r="XF2" s="17">
        <f t="shared" si="15"/>
        <v>0</v>
      </c>
      <c r="XG2" s="17">
        <f t="shared" si="15"/>
        <v>0</v>
      </c>
      <c r="XH2" s="17">
        <f t="shared" si="15"/>
        <v>0</v>
      </c>
      <c r="XI2" s="17">
        <f t="shared" si="15"/>
        <v>0</v>
      </c>
      <c r="XJ2" s="17">
        <f t="shared" si="15"/>
        <v>0</v>
      </c>
      <c r="XK2" s="17">
        <f t="shared" si="15"/>
        <v>0</v>
      </c>
      <c r="XL2" s="17">
        <f>XL1</f>
        <v>0</v>
      </c>
      <c r="XM2" s="17">
        <f t="shared" si="15"/>
        <v>0</v>
      </c>
      <c r="XN2" s="17">
        <f t="shared" si="15"/>
        <v>0</v>
      </c>
      <c r="XO2" s="17">
        <f t="shared" si="15"/>
        <v>0</v>
      </c>
      <c r="XP2" s="17">
        <f t="shared" si="15"/>
        <v>0</v>
      </c>
      <c r="XQ2" s="17">
        <f t="shared" si="15"/>
        <v>0</v>
      </c>
      <c r="XR2" s="17">
        <f t="shared" si="15"/>
        <v>0</v>
      </c>
      <c r="XS2" s="17">
        <f t="shared" si="15"/>
        <v>0</v>
      </c>
      <c r="XT2" s="17">
        <f>XT1</f>
        <v>0</v>
      </c>
      <c r="XU2" s="17">
        <f t="shared" si="15"/>
        <v>0</v>
      </c>
      <c r="XV2" s="17">
        <f t="shared" si="15"/>
        <v>0</v>
      </c>
      <c r="XW2" s="17">
        <f t="shared" si="15"/>
        <v>0</v>
      </c>
      <c r="XX2" s="17">
        <f t="shared" si="15"/>
        <v>0</v>
      </c>
      <c r="XY2" s="17">
        <f t="shared" si="15"/>
        <v>0</v>
      </c>
      <c r="XZ2" s="17">
        <f t="shared" si="15"/>
        <v>0</v>
      </c>
      <c r="YA2" s="17">
        <f t="shared" si="15"/>
        <v>0</v>
      </c>
      <c r="YB2" s="17">
        <f>YB1</f>
        <v>0</v>
      </c>
      <c r="YC2" s="17">
        <f t="shared" si="15"/>
        <v>0</v>
      </c>
      <c r="YD2" s="17">
        <f t="shared" si="15"/>
        <v>0</v>
      </c>
      <c r="YE2" s="17">
        <f t="shared" si="15"/>
        <v>0</v>
      </c>
      <c r="YF2" s="17">
        <f t="shared" si="15"/>
        <v>0</v>
      </c>
      <c r="YG2" s="17">
        <f t="shared" si="15"/>
        <v>0</v>
      </c>
      <c r="YH2" s="17">
        <f t="shared" si="15"/>
        <v>0</v>
      </c>
      <c r="YI2" s="17">
        <f t="shared" si="15"/>
        <v>0</v>
      </c>
      <c r="YJ2" s="17">
        <f>YJ1</f>
        <v>0</v>
      </c>
      <c r="YK2" s="17">
        <f t="shared" si="15"/>
        <v>0</v>
      </c>
      <c r="YL2" s="17">
        <f t="shared" si="15"/>
        <v>0</v>
      </c>
      <c r="YM2" s="17">
        <f t="shared" si="15"/>
        <v>0</v>
      </c>
      <c r="YN2" s="17">
        <f t="shared" si="15"/>
        <v>0</v>
      </c>
      <c r="YO2" s="17">
        <f t="shared" si="15"/>
        <v>0</v>
      </c>
      <c r="YP2" s="17">
        <f t="shared" si="15"/>
        <v>0</v>
      </c>
      <c r="YQ2" s="17">
        <f t="shared" si="15"/>
        <v>0</v>
      </c>
      <c r="YR2" s="17">
        <f>YR1</f>
        <v>0</v>
      </c>
      <c r="YS2" s="17">
        <f t="shared" si="15"/>
        <v>-100</v>
      </c>
      <c r="YT2" s="17">
        <f t="shared" si="15"/>
        <v>-67</v>
      </c>
      <c r="YU2" s="17">
        <f t="shared" si="15"/>
        <v>-33</v>
      </c>
      <c r="YV2" s="17">
        <f t="shared" si="15"/>
        <v>0</v>
      </c>
      <c r="YW2" s="17">
        <f t="shared" si="15"/>
        <v>33</v>
      </c>
      <c r="YX2" s="17">
        <f t="shared" si="15"/>
        <v>67</v>
      </c>
      <c r="YY2" s="17">
        <f t="shared" si="15"/>
        <v>100</v>
      </c>
      <c r="YZ2" s="17">
        <f>YZ1</f>
        <v>0</v>
      </c>
      <c r="ZA2" s="17"/>
      <c r="ZB2" s="17"/>
      <c r="ZC2" s="17"/>
      <c r="ZD2" s="17"/>
      <c r="ZE2" s="17"/>
      <c r="ZF2" s="17"/>
      <c r="ZG2" s="17"/>
      <c r="ZH2" s="17"/>
      <c r="ZI2" s="17"/>
      <c r="ZJ2" s="17"/>
      <c r="ZK2" s="17"/>
      <c r="ZL2" s="17"/>
      <c r="ZM2" s="17"/>
      <c r="ZN2" s="17"/>
      <c r="ZO2" s="17"/>
      <c r="ZP2" s="17"/>
      <c r="ZQ2" s="17"/>
      <c r="ZR2" s="17"/>
      <c r="ZS2" s="17"/>
      <c r="ZT2" s="17"/>
      <c r="ZU2" s="17"/>
      <c r="ZV2" s="17"/>
      <c r="ZW2" s="17"/>
      <c r="ZX2" s="17"/>
      <c r="ZY2" s="17"/>
      <c r="ZZ2" s="17"/>
      <c r="AAA2" s="17"/>
      <c r="AAB2" s="17"/>
      <c r="AAC2" s="17"/>
      <c r="AAD2" s="17"/>
      <c r="AAE2" s="17"/>
      <c r="AAF2" s="17"/>
      <c r="AAG2" s="17"/>
      <c r="AAH2" s="17"/>
      <c r="AAI2" s="17"/>
      <c r="AAJ2" s="17"/>
      <c r="AAK2" s="17"/>
      <c r="AAL2" s="17"/>
      <c r="AAM2" s="17"/>
      <c r="AAN2" s="17"/>
      <c r="AAO2" s="17"/>
      <c r="AAP2" s="17"/>
      <c r="AAQ2" s="17"/>
      <c r="AAR2" s="17"/>
      <c r="AAS2" s="17"/>
      <c r="AAT2" s="17"/>
      <c r="AAU2" s="17"/>
      <c r="AAV2" s="17"/>
      <c r="AAW2" s="17"/>
      <c r="AAX2" s="17"/>
      <c r="AAY2" s="17"/>
      <c r="AAZ2" s="17"/>
      <c r="ABA2" s="17"/>
      <c r="ABB2" s="17"/>
      <c r="ABC2" s="17"/>
      <c r="ABD2" s="17"/>
      <c r="ABE2" s="17"/>
      <c r="ABF2" s="17"/>
      <c r="ABG2" s="17"/>
      <c r="ABH2" s="17"/>
      <c r="ABI2" s="17"/>
      <c r="ABJ2" s="17"/>
      <c r="ABK2" s="17"/>
      <c r="ABL2" s="17"/>
      <c r="ABM2" s="17"/>
      <c r="ABN2" s="17"/>
      <c r="ABO2" s="17"/>
      <c r="ABP2" s="17"/>
      <c r="ABQ2" s="17"/>
      <c r="ABR2" s="17"/>
      <c r="ABS2" s="17"/>
      <c r="ABT2" s="17"/>
      <c r="ABU2" s="17"/>
      <c r="ABV2" s="17"/>
      <c r="ABW2" s="17"/>
      <c r="ABX2" s="17"/>
      <c r="ABY2" s="17"/>
      <c r="ABZ2" s="17"/>
      <c r="ACA2" s="17"/>
      <c r="ACB2" s="17"/>
      <c r="ACC2" s="17"/>
      <c r="ACD2" s="17"/>
      <c r="ACE2" s="17"/>
      <c r="ACF2" s="17"/>
      <c r="ACG2" s="17"/>
      <c r="ACH2" s="17"/>
      <c r="ACI2" s="17"/>
      <c r="ACJ2" s="17"/>
      <c r="ACK2" s="17"/>
      <c r="ACL2" s="17"/>
      <c r="ACM2" s="17"/>
      <c r="ACN2" s="17"/>
      <c r="ACO2" s="17"/>
      <c r="ACP2" s="17"/>
      <c r="ACQ2" s="17"/>
      <c r="ACR2" s="17"/>
      <c r="ACS2" s="17"/>
      <c r="ACT2" s="17"/>
      <c r="ACU2" s="17"/>
      <c r="ACV2" s="17"/>
      <c r="ACW2" s="17"/>
      <c r="ACX2" s="17"/>
      <c r="ACY2" s="17"/>
      <c r="ACZ2" s="17"/>
      <c r="ADA2" s="17"/>
      <c r="ADB2" s="17"/>
      <c r="ADC2" s="17"/>
      <c r="ADD2" s="17"/>
      <c r="ADE2" s="17"/>
      <c r="ADF2" s="17"/>
      <c r="ADG2" s="17"/>
      <c r="ADH2" s="17"/>
      <c r="ADI2" s="17"/>
      <c r="ADJ2" s="17"/>
      <c r="ADK2" s="17"/>
      <c r="ADL2" s="17"/>
      <c r="ADM2" s="17"/>
      <c r="ADN2" s="17"/>
      <c r="ADO2" s="17"/>
      <c r="ADP2" s="17"/>
      <c r="ADQ2" s="17"/>
      <c r="ADR2" s="17"/>
      <c r="ADS2" s="17"/>
      <c r="ADT2" s="17"/>
      <c r="ADU2" s="17"/>
      <c r="ADV2" s="17"/>
      <c r="ADW2" s="17"/>
      <c r="ADX2" s="17"/>
      <c r="ADY2" s="17"/>
      <c r="ADZ2" s="17"/>
      <c r="AEA2" s="17"/>
      <c r="AEB2" s="17"/>
      <c r="AEC2" s="17"/>
      <c r="AED2" s="17"/>
      <c r="AEE2" s="17"/>
      <c r="AEF2" s="17"/>
      <c r="AEG2" s="17"/>
      <c r="AEH2" s="17"/>
      <c r="AEI2" s="17"/>
      <c r="AEJ2" s="17"/>
      <c r="AEK2" s="17"/>
      <c r="AEL2" s="17"/>
      <c r="AEM2" s="17"/>
      <c r="AEN2" s="17"/>
      <c r="AEO2" s="17"/>
      <c r="AEP2" s="17"/>
      <c r="AEQ2" s="17"/>
      <c r="AER2" s="17"/>
      <c r="AES2" s="17"/>
      <c r="AET2" s="17"/>
      <c r="AEU2" s="17"/>
      <c r="AEV2" s="17"/>
      <c r="AEW2" s="17"/>
      <c r="AEX2" s="17"/>
      <c r="AEY2" s="17"/>
      <c r="AEZ2" s="17"/>
      <c r="AFA2" s="17"/>
      <c r="AFB2" s="17"/>
      <c r="AFC2" s="17"/>
      <c r="AFD2" s="17"/>
      <c r="AFE2" s="17"/>
      <c r="AFF2" s="17"/>
      <c r="AFG2" s="17"/>
      <c r="AFH2" s="17"/>
      <c r="AFI2" s="17"/>
      <c r="AFJ2" s="17"/>
      <c r="AFK2" s="17"/>
      <c r="AFL2" s="17"/>
      <c r="AFM2" s="17"/>
      <c r="AFN2" s="17"/>
      <c r="AFO2" s="17"/>
      <c r="AFP2" s="17"/>
      <c r="AFQ2" s="17"/>
      <c r="AFR2" s="17"/>
      <c r="AFS2" s="17"/>
      <c r="AFT2" s="17"/>
      <c r="AFU2" s="17"/>
      <c r="AFV2" s="17"/>
      <c r="AFW2" s="17"/>
      <c r="AFX2" s="17"/>
      <c r="AFY2" s="17"/>
      <c r="AFZ2" s="17"/>
      <c r="AGA2" s="17"/>
      <c r="AGB2" s="17"/>
      <c r="AGC2" s="17"/>
      <c r="AGD2" s="17"/>
      <c r="AGE2" s="17"/>
      <c r="AGF2" s="17"/>
      <c r="AGG2" s="17"/>
      <c r="AGH2" s="17"/>
      <c r="AGI2" s="17"/>
      <c r="AGJ2" s="17"/>
      <c r="AGK2" s="17"/>
      <c r="AGL2" s="17"/>
      <c r="AGM2" s="17"/>
      <c r="AGN2" s="17"/>
      <c r="AGO2" s="17"/>
      <c r="AGP2" s="17"/>
      <c r="AGQ2" s="17"/>
      <c r="AGR2" s="17"/>
      <c r="AGS2" s="17"/>
      <c r="AGT2" s="17"/>
      <c r="AGU2" s="17"/>
      <c r="AGV2" s="17"/>
      <c r="AGW2" s="17"/>
      <c r="AGX2" s="17"/>
      <c r="AGY2" s="17"/>
      <c r="AGZ2" s="17"/>
      <c r="AHA2" s="17"/>
      <c r="AHB2" s="17"/>
      <c r="AHC2" s="17"/>
      <c r="AHD2" s="17"/>
      <c r="AHE2" s="17"/>
      <c r="AHF2" s="17"/>
      <c r="AHG2" s="17"/>
      <c r="AHH2" s="17"/>
      <c r="AHI2" s="17"/>
      <c r="AHJ2" s="17"/>
      <c r="AHK2" s="17"/>
      <c r="AHL2" s="17"/>
      <c r="AHM2" s="17"/>
      <c r="AHN2" s="17"/>
      <c r="AHO2" s="17"/>
      <c r="AHP2" s="17"/>
      <c r="AHQ2" s="17"/>
      <c r="AHR2" s="17"/>
      <c r="AHS2" s="17"/>
      <c r="AHT2" s="17"/>
      <c r="AHU2" s="17"/>
      <c r="AHV2" s="17"/>
      <c r="AHW2" s="17"/>
      <c r="AHX2" s="17"/>
      <c r="AHY2" s="17"/>
      <c r="AHZ2" s="17"/>
      <c r="AIA2" s="17"/>
      <c r="AIB2" s="17"/>
      <c r="AIC2" s="17"/>
      <c r="AID2" s="17"/>
      <c r="AIE2" s="17"/>
      <c r="AIF2" s="17"/>
      <c r="AIG2" s="17"/>
      <c r="AIH2" s="17"/>
      <c r="AII2" s="17"/>
      <c r="AIJ2" s="17"/>
      <c r="AIK2" s="17"/>
      <c r="AIL2" s="17"/>
      <c r="AIM2" s="17"/>
      <c r="AIN2" s="17"/>
      <c r="AIO2" s="17"/>
      <c r="AIP2" s="17"/>
      <c r="AIQ2" s="17"/>
      <c r="AIR2" s="17"/>
      <c r="AIS2" s="17"/>
      <c r="AIT2" s="17"/>
      <c r="AIU2" s="17"/>
      <c r="AIV2" s="17"/>
      <c r="AIW2" s="17"/>
      <c r="AIX2" s="17"/>
      <c r="AIY2" s="17"/>
      <c r="AIZ2" s="17"/>
      <c r="AJA2" s="17"/>
      <c r="AJB2" s="17"/>
      <c r="AJC2" s="17"/>
      <c r="AJD2" s="17"/>
      <c r="AJE2" s="17"/>
      <c r="AJF2" s="17"/>
      <c r="AJG2" s="17"/>
      <c r="AJH2" s="17"/>
      <c r="AJI2" s="17"/>
      <c r="AJJ2" s="17"/>
      <c r="AJK2" s="17"/>
      <c r="AJL2" s="17"/>
      <c r="AJM2" s="17"/>
      <c r="AJN2" s="17"/>
      <c r="AJO2" s="17"/>
      <c r="AJP2" s="17"/>
      <c r="AJQ2" s="17"/>
      <c r="AJR2" s="17"/>
      <c r="AJS2" s="17"/>
      <c r="AJT2" s="17"/>
      <c r="AJU2" s="17"/>
      <c r="AJV2" s="17"/>
      <c r="AJW2" s="17"/>
      <c r="AJX2" s="17"/>
      <c r="AJY2" s="17"/>
      <c r="AJZ2" s="17"/>
      <c r="AKA2" s="17"/>
      <c r="AKB2" s="17"/>
      <c r="AKC2" s="17"/>
      <c r="AKD2" s="17"/>
      <c r="AKE2" s="17"/>
      <c r="AKF2" s="17"/>
      <c r="AKG2" s="17"/>
      <c r="AKH2" s="17"/>
      <c r="AKI2" s="17"/>
      <c r="AKJ2" s="17"/>
      <c r="AKK2" s="17"/>
      <c r="AKL2" s="17"/>
      <c r="AKM2" s="17"/>
      <c r="AKN2" s="17"/>
      <c r="AKO2" s="17"/>
      <c r="AKP2" s="17"/>
      <c r="AKQ2" s="17"/>
      <c r="AKR2" s="17"/>
      <c r="AKS2" s="17"/>
      <c r="AKT2" s="17"/>
      <c r="AKU2" s="17"/>
      <c r="AKV2" s="17"/>
      <c r="AKW2" s="17"/>
      <c r="AKX2" s="17"/>
      <c r="AKY2" s="17"/>
      <c r="AKZ2" s="17"/>
      <c r="ALA2" s="17"/>
      <c r="ALB2" s="17"/>
      <c r="ALC2" s="17"/>
      <c r="ALD2" s="17"/>
      <c r="ALE2" s="17"/>
      <c r="ALF2" s="17"/>
      <c r="ALG2" s="17"/>
      <c r="ALH2" s="17"/>
      <c r="ALI2" s="17"/>
      <c r="ALJ2" s="17"/>
      <c r="ALK2" s="17"/>
      <c r="ALL2" s="17"/>
      <c r="ALM2" s="17"/>
      <c r="ALN2" s="17"/>
      <c r="ALO2" s="17"/>
      <c r="ALP2" s="17"/>
      <c r="ALQ2" s="17"/>
      <c r="ALR2" s="17"/>
      <c r="ALS2" s="17"/>
      <c r="ALT2" s="17"/>
      <c r="ALU2" s="17"/>
      <c r="ALV2" s="17"/>
      <c r="ALW2" s="17"/>
      <c r="ALX2" s="17"/>
      <c r="ALY2" s="17"/>
      <c r="ALZ2" s="17"/>
      <c r="AMA2" s="17"/>
      <c r="AMB2" s="17"/>
      <c r="AMC2" s="17"/>
      <c r="AMD2" s="17"/>
      <c r="AME2" s="17"/>
      <c r="AMF2" s="17"/>
      <c r="AMG2" s="17"/>
      <c r="AMH2" s="17"/>
      <c r="AMI2" s="17"/>
      <c r="AMJ2" s="17"/>
      <c r="AMK2" s="17"/>
      <c r="AML2" s="17"/>
      <c r="AMM2" s="17"/>
      <c r="AMN2" s="17"/>
      <c r="AMO2" s="17"/>
      <c r="AMP2" s="17"/>
      <c r="AMQ2" s="17"/>
      <c r="AMR2" s="17"/>
      <c r="AMS2" s="17"/>
      <c r="AMT2" s="17"/>
      <c r="AMU2" s="17"/>
      <c r="AMV2" s="17"/>
      <c r="AMW2" s="17"/>
      <c r="AMX2" s="17"/>
      <c r="AMY2" s="17"/>
      <c r="AMZ2" s="17"/>
      <c r="ANA2" s="17"/>
      <c r="ANB2" s="17"/>
      <c r="ANC2" s="17"/>
      <c r="AND2" s="17"/>
      <c r="ANE2" s="17"/>
      <c r="ANF2" s="17"/>
      <c r="ANG2" s="17"/>
      <c r="ANH2" s="17"/>
      <c r="ANI2" s="17"/>
      <c r="ANJ2" s="17"/>
      <c r="ANK2" s="17"/>
      <c r="ANL2" s="17"/>
      <c r="ANM2" s="17"/>
      <c r="ANN2" s="17"/>
      <c r="ANO2" s="17"/>
      <c r="ANP2" s="17"/>
      <c r="ANQ2" s="17"/>
      <c r="ANR2" s="17"/>
      <c r="ANS2" s="17"/>
      <c r="ANT2" s="17"/>
      <c r="ANU2" s="17"/>
      <c r="ANV2" s="17"/>
      <c r="ANW2" s="17"/>
      <c r="ANX2" s="17"/>
      <c r="ANY2" s="17"/>
      <c r="ANZ2" s="17"/>
      <c r="AOA2" s="17"/>
      <c r="AOB2" s="17"/>
      <c r="AOC2" s="17"/>
      <c r="AOD2" s="17"/>
      <c r="AOE2" s="17"/>
      <c r="AOF2" s="17"/>
      <c r="AOG2" s="17"/>
      <c r="AOH2" s="17"/>
      <c r="AOI2" s="17"/>
      <c r="AOJ2" s="17"/>
      <c r="AOK2" s="17"/>
      <c r="AOL2" s="17"/>
      <c r="AOM2" s="17"/>
      <c r="AON2" s="17"/>
      <c r="AOO2" s="17"/>
      <c r="AOP2" s="17"/>
      <c r="AOQ2" s="17"/>
      <c r="AOR2" s="17"/>
      <c r="AOS2" s="17"/>
      <c r="AOT2" s="17"/>
      <c r="AOU2" s="17"/>
      <c r="AOV2" s="17"/>
      <c r="AOW2" s="17"/>
      <c r="AOX2" s="17"/>
      <c r="AOY2" s="17"/>
      <c r="AOZ2" s="17"/>
      <c r="APA2" s="17"/>
      <c r="APB2" s="17"/>
      <c r="APC2" s="17"/>
      <c r="APD2" s="17"/>
      <c r="APE2" s="17"/>
      <c r="APF2" s="17"/>
      <c r="APG2" s="17"/>
      <c r="APH2" s="17"/>
      <c r="API2" s="17"/>
      <c r="APJ2" s="17"/>
      <c r="APK2" s="17"/>
      <c r="APL2" s="17"/>
      <c r="APM2" s="17"/>
      <c r="APN2" s="17"/>
      <c r="APO2" s="17"/>
      <c r="APP2" s="17"/>
      <c r="APQ2" s="17"/>
      <c r="APR2" s="17"/>
      <c r="APS2" s="17"/>
      <c r="APT2" s="17"/>
      <c r="APU2" s="17"/>
      <c r="APV2" s="17"/>
      <c r="APW2" s="17"/>
      <c r="APX2" s="17"/>
      <c r="APY2" s="17"/>
      <c r="APZ2" s="17"/>
      <c r="AQA2" s="17"/>
      <c r="AQB2" s="17"/>
      <c r="AQC2" s="17"/>
      <c r="AQD2" s="17"/>
      <c r="AQE2" s="17"/>
      <c r="AQF2" s="17"/>
      <c r="AQG2" s="17"/>
      <c r="AQH2" s="17"/>
      <c r="AQI2" s="17"/>
      <c r="AQJ2" s="17"/>
      <c r="AQK2" s="17"/>
      <c r="AQL2" s="17"/>
      <c r="AQM2" s="17"/>
      <c r="AQN2" s="17"/>
      <c r="AQO2" s="17"/>
      <c r="AQP2" s="17"/>
      <c r="AQQ2" s="17"/>
      <c r="AQR2" s="17"/>
      <c r="AQS2" s="17"/>
      <c r="AQT2" s="17"/>
      <c r="AQU2" s="17"/>
      <c r="AQV2" s="17"/>
      <c r="AQW2" s="17"/>
      <c r="AQX2" s="17"/>
      <c r="AQY2" s="17"/>
      <c r="AQZ2" s="17"/>
      <c r="ARA2" s="17"/>
      <c r="ARB2" s="17"/>
      <c r="ARC2" s="17"/>
      <c r="ARD2" s="17"/>
      <c r="ARE2" s="17"/>
      <c r="ARF2" s="17"/>
      <c r="ARG2" s="17"/>
      <c r="ARH2" s="17"/>
      <c r="ARI2" s="17"/>
      <c r="ARJ2" s="17"/>
      <c r="ARK2" s="17"/>
      <c r="ARL2" s="17"/>
      <c r="ARM2" s="17"/>
      <c r="ARN2" s="17"/>
      <c r="ARO2" s="17"/>
      <c r="ARP2" s="17"/>
      <c r="ARQ2" s="17"/>
      <c r="ARR2" s="17"/>
      <c r="ARS2" s="17"/>
      <c r="ART2" s="17"/>
      <c r="ARU2" s="17"/>
      <c r="ARV2" s="17"/>
      <c r="ARW2" s="17"/>
      <c r="ARX2" s="17"/>
      <c r="ARY2" s="17"/>
      <c r="ARZ2" s="17"/>
      <c r="ASA2" s="17"/>
      <c r="ASB2" s="17"/>
      <c r="ASC2" s="17"/>
      <c r="ASD2" s="17"/>
      <c r="ASE2" s="17"/>
      <c r="ASF2" s="17"/>
      <c r="ASG2" s="17"/>
      <c r="ASH2" s="17"/>
      <c r="ASI2" s="17"/>
      <c r="ASJ2" s="17"/>
      <c r="ASK2" s="17"/>
      <c r="ASL2" s="17"/>
      <c r="ASM2" s="17"/>
      <c r="ASN2" s="17"/>
      <c r="ASO2" s="17"/>
      <c r="ASP2" s="17"/>
      <c r="ASQ2" s="17"/>
      <c r="ASR2" s="17"/>
      <c r="ASS2" s="17"/>
      <c r="AST2" s="17"/>
      <c r="ASU2" s="17"/>
      <c r="ASV2" s="17"/>
      <c r="ASW2" s="17"/>
      <c r="ASX2" s="17"/>
      <c r="ASY2" s="17"/>
      <c r="ASZ2" s="17"/>
      <c r="ATA2" s="17"/>
      <c r="ATB2" s="17"/>
      <c r="ATC2" s="17"/>
      <c r="ATD2" s="17"/>
      <c r="ATE2" s="17"/>
      <c r="ATF2" s="17"/>
      <c r="ATG2" s="17"/>
      <c r="ATH2" s="17"/>
      <c r="ATI2" s="17"/>
      <c r="ATJ2" s="17"/>
      <c r="ATK2" s="17"/>
      <c r="ATL2" s="17"/>
      <c r="ATM2" s="17"/>
      <c r="ATN2" s="17"/>
      <c r="ATO2" s="17"/>
      <c r="ATP2" s="17"/>
      <c r="ATQ2" s="17"/>
      <c r="ATR2" s="17"/>
      <c r="ATS2" s="17"/>
      <c r="ATT2" s="17"/>
      <c r="ATU2" s="17"/>
      <c r="ATV2" s="17"/>
      <c r="ATW2" s="17"/>
      <c r="ATX2" s="17"/>
      <c r="ATY2" s="17"/>
      <c r="ATZ2" s="17"/>
      <c r="AUA2" s="17"/>
      <c r="AUB2" s="17"/>
      <c r="AUC2" s="17"/>
      <c r="AUD2" s="17"/>
      <c r="AUE2" s="17"/>
      <c r="AUF2" s="17"/>
      <c r="AUG2" s="17"/>
      <c r="AUH2" s="17"/>
      <c r="AUI2" s="17"/>
      <c r="AUJ2" s="17"/>
      <c r="AUK2" s="17"/>
      <c r="AUL2" s="17"/>
      <c r="AUM2" s="17"/>
      <c r="AUN2" s="17"/>
      <c r="AUO2" s="17"/>
      <c r="AUP2" s="17"/>
      <c r="AUQ2" s="17"/>
      <c r="AUR2" s="17"/>
      <c r="AUS2" s="17"/>
      <c r="AUT2" s="17"/>
      <c r="AUU2" s="17"/>
      <c r="AUV2" s="17"/>
      <c r="AUW2" s="17"/>
      <c r="AUX2" s="17"/>
      <c r="AUY2" s="17"/>
      <c r="AUZ2" s="17"/>
      <c r="AVA2" s="17"/>
      <c r="AVB2" s="17"/>
      <c r="AVC2" s="17"/>
      <c r="AVD2" s="17"/>
      <c r="AVE2" s="17"/>
      <c r="AVF2" s="17"/>
      <c r="AVG2" s="17"/>
      <c r="AVH2" s="17"/>
      <c r="AVI2" s="17"/>
      <c r="AVJ2" s="17"/>
      <c r="AVK2" s="17"/>
      <c r="AVL2" s="17"/>
      <c r="AVM2" s="17"/>
      <c r="AVN2" s="17"/>
      <c r="AVO2" s="17"/>
      <c r="AVP2" s="17"/>
      <c r="AVQ2" s="17"/>
      <c r="AVR2" s="17"/>
      <c r="AVS2" s="17"/>
      <c r="AVT2" s="17"/>
      <c r="AVU2" s="17"/>
      <c r="AVV2" s="17"/>
      <c r="AVW2" s="17"/>
      <c r="AVX2" s="17"/>
      <c r="AVY2" s="17"/>
      <c r="AVZ2" s="17"/>
      <c r="AWA2" s="17"/>
      <c r="AWB2" s="17"/>
      <c r="AWC2" s="17"/>
      <c r="AWD2" s="17"/>
      <c r="AWE2" s="17"/>
      <c r="AWF2" s="17"/>
      <c r="AWG2" s="17"/>
      <c r="AWH2" s="17"/>
      <c r="AWI2" s="17"/>
      <c r="AWJ2" s="17"/>
      <c r="AWK2" s="17"/>
      <c r="AWL2" s="17"/>
      <c r="AWM2" s="17"/>
      <c r="AWN2" s="17"/>
      <c r="AWO2" s="17"/>
      <c r="AWP2" s="17"/>
      <c r="AWQ2" s="17"/>
      <c r="AWR2" s="17"/>
      <c r="AWS2" s="17"/>
      <c r="AWT2" s="17"/>
      <c r="AWU2" s="17"/>
      <c r="AWV2" s="17"/>
      <c r="AWW2" s="17"/>
      <c r="AWX2" s="17"/>
      <c r="AWY2" s="17"/>
      <c r="AWZ2" s="17"/>
      <c r="AXA2" s="17"/>
      <c r="AXB2" s="17"/>
      <c r="AXC2" s="17"/>
      <c r="AXD2" s="17"/>
      <c r="AXE2" s="17"/>
      <c r="AXF2" s="17"/>
      <c r="AXG2" s="17"/>
      <c r="AXH2" s="17"/>
      <c r="AXI2" s="17"/>
      <c r="AXJ2" s="17"/>
      <c r="AXK2" s="17"/>
      <c r="AXL2" s="17"/>
      <c r="AXM2" s="17"/>
      <c r="AXN2" s="17"/>
      <c r="AXO2" s="17"/>
      <c r="AXP2" s="17"/>
      <c r="AXQ2" s="17"/>
      <c r="AXR2" s="17"/>
      <c r="AXS2" s="17"/>
      <c r="AXT2" s="17"/>
      <c r="AXU2" s="17"/>
      <c r="AXV2" s="17"/>
      <c r="AXW2" s="17"/>
      <c r="AXX2" s="17"/>
      <c r="AXY2" s="17"/>
      <c r="AXZ2" s="17"/>
      <c r="AYA2" s="17"/>
      <c r="AYB2" s="17"/>
      <c r="AYC2" s="17"/>
      <c r="AYD2" s="17"/>
      <c r="AYE2" s="17"/>
      <c r="AYF2" s="17"/>
      <c r="AYG2" s="17"/>
      <c r="AYH2" s="17"/>
      <c r="AYI2" s="17"/>
      <c r="AYJ2" s="17"/>
      <c r="AYK2" s="17"/>
      <c r="AYL2" s="17"/>
      <c r="AYM2" s="17"/>
      <c r="AYN2" s="17"/>
      <c r="AYO2" s="17"/>
      <c r="AYP2" s="17"/>
      <c r="AYQ2" s="17"/>
      <c r="AYR2" s="17"/>
      <c r="AYS2" s="17"/>
      <c r="AYT2" s="17"/>
      <c r="AYU2" s="17"/>
      <c r="AYV2" s="17"/>
      <c r="AYW2" s="17"/>
      <c r="AYX2" s="17"/>
      <c r="AYY2" s="17"/>
      <c r="AYZ2" s="17"/>
      <c r="AZA2" s="17"/>
      <c r="AZB2" s="17"/>
      <c r="AZC2" s="17"/>
      <c r="AZD2" s="17"/>
      <c r="AZE2" s="17"/>
      <c r="AZF2" s="17"/>
      <c r="AZG2" s="17"/>
      <c r="AZH2" s="17"/>
      <c r="AZI2" s="17"/>
      <c r="AZJ2" s="17"/>
      <c r="AZK2" s="17"/>
      <c r="AZL2" s="17"/>
      <c r="AZM2" s="17"/>
      <c r="AZN2" s="17"/>
      <c r="AZO2" s="17"/>
      <c r="AZP2" s="17"/>
      <c r="AZQ2" s="17"/>
      <c r="AZR2" s="17"/>
      <c r="AZS2" s="17"/>
      <c r="AZT2" s="17"/>
      <c r="AZU2" s="17"/>
      <c r="AZV2" s="17"/>
      <c r="AZW2" s="17"/>
      <c r="AZX2" s="17"/>
      <c r="AZY2" s="17"/>
      <c r="AZZ2" s="17"/>
      <c r="BAA2" s="17"/>
      <c r="BAB2" s="17"/>
      <c r="BAC2" s="17"/>
      <c r="BAD2" s="17"/>
      <c r="BAE2" s="17"/>
      <c r="BAF2" s="17"/>
      <c r="BAG2" s="17"/>
      <c r="BAH2" s="17"/>
      <c r="BAI2" s="17"/>
      <c r="BAJ2" s="17"/>
      <c r="BAK2" s="17"/>
      <c r="BAL2" s="17"/>
      <c r="BAM2" s="17"/>
      <c r="BAN2" s="17"/>
      <c r="BAO2" s="17"/>
      <c r="BAP2" s="17"/>
      <c r="BAQ2" s="17"/>
      <c r="BAR2" s="17"/>
      <c r="BAS2" s="17"/>
      <c r="BAT2" s="17"/>
      <c r="BAU2" s="17"/>
      <c r="BAV2" s="17"/>
      <c r="BAW2" s="17"/>
      <c r="BAX2" s="17"/>
      <c r="BAY2" s="17"/>
      <c r="BAZ2" s="17"/>
      <c r="BBA2" s="17"/>
      <c r="BBB2" s="17"/>
      <c r="BBC2" s="17"/>
      <c r="BBD2" s="17"/>
      <c r="BBE2" s="17"/>
      <c r="BBF2" s="17"/>
      <c r="BBG2" s="17"/>
      <c r="BBH2" s="17"/>
      <c r="BBI2" s="17"/>
      <c r="BBJ2" s="17"/>
      <c r="BBK2" s="17"/>
      <c r="BBL2" s="17"/>
      <c r="BBM2" s="17"/>
      <c r="BBN2" s="17"/>
      <c r="BBO2" s="17"/>
      <c r="BBP2" s="17"/>
      <c r="BBQ2" s="17"/>
      <c r="BBR2" s="17"/>
      <c r="BBS2" s="17"/>
      <c r="BBT2" s="17"/>
      <c r="BBU2" s="17"/>
      <c r="BBV2" s="17"/>
      <c r="BBW2" s="17"/>
      <c r="BBX2" s="17"/>
      <c r="BBY2" s="17"/>
      <c r="BBZ2" s="17"/>
      <c r="BCA2" s="17"/>
      <c r="BCB2" s="17"/>
      <c r="BCC2" s="17"/>
      <c r="BCD2" s="17"/>
      <c r="BCE2" s="17"/>
      <c r="BCF2" s="17"/>
      <c r="BCG2" s="17"/>
      <c r="BCH2" s="17"/>
      <c r="BCI2" s="17"/>
      <c r="BCJ2" s="17"/>
      <c r="BCK2" s="17"/>
      <c r="BCL2" s="17"/>
      <c r="BCM2" s="17"/>
      <c r="BCN2" s="17"/>
      <c r="BCO2" s="17"/>
      <c r="BCP2" s="17"/>
      <c r="BCQ2" s="17"/>
      <c r="BCR2" s="17"/>
      <c r="BCS2" s="17"/>
      <c r="BCT2" s="17"/>
      <c r="BCU2" s="17"/>
      <c r="BCV2" s="17"/>
      <c r="BCW2" s="17"/>
      <c r="BCX2" s="17"/>
      <c r="BCY2" s="17"/>
      <c r="BCZ2" s="17"/>
      <c r="BDA2" s="17"/>
      <c r="BDB2" s="17"/>
      <c r="BDC2" s="17"/>
      <c r="BDD2" s="17"/>
      <c r="BDE2" s="17"/>
      <c r="BDF2" s="17"/>
      <c r="BDG2" s="17"/>
      <c r="BDH2" s="17"/>
      <c r="BDI2" s="17"/>
      <c r="BDJ2" s="17"/>
      <c r="BDK2" s="17"/>
      <c r="BDL2" s="17"/>
      <c r="BDM2" s="17"/>
      <c r="BDN2" s="17"/>
      <c r="BDO2" s="17"/>
      <c r="BDP2" s="17"/>
      <c r="BDQ2" s="17"/>
      <c r="BDR2" s="17"/>
      <c r="BDS2" s="17"/>
      <c r="BDT2" s="17"/>
      <c r="BDU2" s="17"/>
      <c r="BDV2" s="17"/>
      <c r="BDW2" s="17"/>
      <c r="BDX2" s="17"/>
      <c r="BDY2" s="17"/>
      <c r="BDZ2" s="17"/>
      <c r="BEA2" s="17"/>
      <c r="BEB2" s="17"/>
      <c r="BEC2" s="17"/>
      <c r="BED2" s="17"/>
      <c r="BEE2" s="17"/>
      <c r="BEF2" s="17"/>
      <c r="BEG2" s="17"/>
      <c r="BEH2" s="17"/>
      <c r="BEI2" s="17"/>
      <c r="BEJ2" s="17"/>
      <c r="BEK2" s="17"/>
      <c r="BEL2" s="17"/>
      <c r="BEM2" s="17"/>
      <c r="BEN2" s="17"/>
      <c r="BEO2" s="17"/>
      <c r="BEP2" s="17"/>
      <c r="BEQ2" s="17"/>
      <c r="BER2" s="17"/>
      <c r="BES2" s="17"/>
      <c r="BET2" s="17"/>
      <c r="BEU2" s="17"/>
      <c r="BEV2" s="17"/>
      <c r="BEW2" s="17"/>
      <c r="BEX2" s="17"/>
      <c r="BEY2" s="17"/>
      <c r="BEZ2" s="17"/>
      <c r="BFA2" s="17"/>
      <c r="BFB2" s="17"/>
      <c r="BFC2" s="17"/>
      <c r="BFD2" s="17"/>
      <c r="BFE2" s="17"/>
      <c r="BFF2" s="17"/>
      <c r="BFG2" s="17"/>
      <c r="BFH2" s="17"/>
      <c r="BFI2" s="17"/>
      <c r="BFJ2" s="17"/>
      <c r="BFK2" s="17"/>
      <c r="BFL2" s="17"/>
      <c r="BFM2" s="17"/>
      <c r="BFN2" s="17"/>
      <c r="BFO2" s="17"/>
      <c r="BFP2" s="17"/>
      <c r="BFQ2" s="17"/>
      <c r="BFR2" s="17"/>
      <c r="BFS2" s="17"/>
      <c r="BFT2" s="17"/>
      <c r="BFU2" s="17"/>
      <c r="BFV2" s="17"/>
      <c r="BFW2" s="17"/>
      <c r="BFX2" s="17"/>
      <c r="BFY2" s="17"/>
      <c r="BFZ2" s="17"/>
      <c r="BGA2" s="17"/>
      <c r="BGB2" s="17"/>
      <c r="BGC2" s="17"/>
      <c r="BGD2" s="17"/>
      <c r="BGE2" s="17"/>
      <c r="BGF2" s="17"/>
      <c r="BGG2" s="17"/>
      <c r="BGH2" s="17"/>
      <c r="BGI2" s="17"/>
      <c r="BGJ2" s="17"/>
      <c r="BGK2" s="17"/>
      <c r="BGL2" s="17"/>
      <c r="BGM2" s="17"/>
      <c r="BGN2" s="17"/>
      <c r="BGO2" s="17"/>
      <c r="BGP2" s="17"/>
      <c r="BGQ2" s="17"/>
      <c r="BGR2" s="17"/>
      <c r="BGS2" s="17"/>
      <c r="BGT2" s="17"/>
      <c r="BGU2" s="17"/>
      <c r="BGV2" s="17"/>
      <c r="BGW2" s="17"/>
      <c r="BGX2" s="17"/>
      <c r="BGY2" s="17"/>
      <c r="BGZ2" s="17"/>
      <c r="BHA2" s="17"/>
      <c r="BHB2" s="17"/>
      <c r="BHC2" s="17"/>
      <c r="BHD2" s="17"/>
      <c r="BHE2" s="17"/>
      <c r="BHF2" s="17"/>
      <c r="BHG2" s="17"/>
      <c r="BHH2" s="17"/>
      <c r="BHI2" s="17"/>
      <c r="BHJ2" s="17"/>
      <c r="BHK2" s="17"/>
      <c r="BHL2" s="17"/>
      <c r="BHM2" s="17"/>
      <c r="BHN2" s="17"/>
      <c r="BHO2" s="17"/>
      <c r="BHP2" s="17"/>
      <c r="BHQ2" s="17"/>
      <c r="BHR2" s="17"/>
      <c r="BHS2" s="17"/>
      <c r="BHT2" s="17"/>
      <c r="BHU2" s="17"/>
      <c r="BHV2" s="17"/>
      <c r="BHW2" s="17"/>
      <c r="BHX2" s="17"/>
      <c r="BHY2" s="17"/>
      <c r="BHZ2" s="17"/>
      <c r="BIA2" s="17"/>
      <c r="BIB2" s="17"/>
      <c r="BIC2" s="17"/>
      <c r="BID2" s="17"/>
      <c r="BIE2" s="17"/>
      <c r="BIF2" s="17"/>
      <c r="BIG2" s="17"/>
      <c r="BIH2" s="17"/>
      <c r="BII2" s="17"/>
      <c r="BIJ2" s="17"/>
      <c r="BIK2" s="17"/>
      <c r="BIL2" s="17"/>
      <c r="BIM2" s="17"/>
      <c r="BIN2" s="17"/>
      <c r="BIO2" s="17"/>
      <c r="BIP2" s="17"/>
      <c r="BIQ2" s="17"/>
      <c r="BIR2" s="17"/>
      <c r="BIS2" s="17"/>
      <c r="BIT2" s="17"/>
      <c r="BIU2" s="17"/>
      <c r="BIV2" s="17"/>
      <c r="BIW2" s="17"/>
      <c r="BIX2" s="17"/>
      <c r="BIY2" s="17"/>
      <c r="BIZ2" s="17"/>
      <c r="BJA2" s="17"/>
      <c r="BJB2" s="17"/>
      <c r="BJC2" s="17"/>
      <c r="BJD2" s="17"/>
      <c r="BJE2" s="17"/>
      <c r="BJF2" s="17"/>
      <c r="BJG2" s="17"/>
      <c r="BJH2" s="17"/>
      <c r="BJI2" s="17"/>
      <c r="BJJ2" s="17"/>
      <c r="BJK2" s="17"/>
      <c r="BJL2" s="17"/>
      <c r="BJM2" s="17"/>
      <c r="BJN2" s="17"/>
      <c r="BJO2" s="17"/>
      <c r="BJP2" s="17"/>
      <c r="BJQ2" s="17"/>
      <c r="BJR2" s="17"/>
      <c r="BJS2" s="17"/>
      <c r="BJT2" s="17"/>
      <c r="BJU2" s="17"/>
      <c r="BJV2" s="17"/>
      <c r="BJW2" s="17"/>
      <c r="BJX2" s="17"/>
      <c r="BJY2" s="17"/>
      <c r="BJZ2" s="17"/>
      <c r="BKA2" s="17"/>
      <c r="BKB2" s="17"/>
      <c r="BKC2" s="17"/>
      <c r="BKD2" s="17"/>
      <c r="BKE2" s="17"/>
      <c r="BKF2" s="17"/>
      <c r="BKG2" s="17"/>
      <c r="BKH2" s="17"/>
      <c r="BKI2" s="17"/>
      <c r="BKJ2" s="17"/>
      <c r="BKK2" s="17"/>
      <c r="BKL2" s="17"/>
      <c r="BKM2" s="17"/>
      <c r="BKN2" s="17"/>
      <c r="BKO2" s="17"/>
      <c r="BKP2" s="17"/>
      <c r="BKQ2" s="17"/>
      <c r="BKR2" s="17"/>
      <c r="BKS2" s="17"/>
      <c r="BKT2" s="17"/>
      <c r="BKU2" s="17"/>
      <c r="BKV2" s="17"/>
      <c r="BKW2" s="17"/>
      <c r="BKX2" s="17"/>
      <c r="BKY2" s="17"/>
      <c r="BKZ2" s="17"/>
      <c r="BLA2" s="17"/>
      <c r="BLB2" s="17"/>
      <c r="BLC2" s="17"/>
      <c r="BLD2" s="17"/>
      <c r="BLE2" s="17"/>
      <c r="BLF2" s="17"/>
      <c r="BLG2" s="17"/>
      <c r="BLH2" s="17"/>
      <c r="BLI2" s="17"/>
      <c r="BLJ2" s="17"/>
      <c r="BLK2" s="17"/>
      <c r="BLL2" s="17"/>
      <c r="BLM2" s="17"/>
      <c r="BLN2" s="17"/>
      <c r="BLO2" s="17"/>
      <c r="BLP2" s="17"/>
      <c r="BLQ2" s="17"/>
      <c r="BLR2" s="17"/>
      <c r="BLS2" s="17"/>
      <c r="BLT2" s="17"/>
      <c r="BLU2" s="17"/>
      <c r="BLV2" s="17"/>
      <c r="BLW2" s="17"/>
      <c r="BLX2" s="17"/>
      <c r="BLY2" s="17"/>
      <c r="BLZ2" s="17"/>
      <c r="BMA2" s="17"/>
      <c r="BMB2" s="17"/>
      <c r="BMC2" s="17"/>
      <c r="BMD2" s="17"/>
      <c r="BME2" s="17"/>
      <c r="BMF2" s="17"/>
      <c r="BMG2" s="17"/>
      <c r="BMH2" s="17"/>
      <c r="BMI2" s="17"/>
      <c r="BMJ2" s="17"/>
      <c r="BMK2" s="17"/>
      <c r="BML2" s="17"/>
      <c r="BMM2" s="17"/>
      <c r="BMN2" s="17"/>
      <c r="BMO2" s="17"/>
      <c r="BMP2" s="17"/>
      <c r="BMQ2" s="17"/>
      <c r="BMR2" s="17"/>
      <c r="BMS2" s="17"/>
      <c r="BMT2" s="17"/>
      <c r="BMU2" s="17"/>
      <c r="BMV2" s="17"/>
      <c r="BMW2" s="17"/>
      <c r="BMX2" s="17"/>
      <c r="BMY2" s="17"/>
      <c r="BMZ2" s="17"/>
      <c r="BNA2" s="17"/>
      <c r="BNB2" s="17"/>
      <c r="BNC2" s="17"/>
      <c r="BND2" s="17"/>
      <c r="BNE2" s="17"/>
      <c r="BNF2" s="17"/>
      <c r="BNG2" s="17"/>
      <c r="BNH2" s="17"/>
      <c r="BNI2" s="17"/>
      <c r="BNJ2" s="17"/>
      <c r="BNK2" s="17"/>
      <c r="BNL2" s="17"/>
      <c r="BNM2" s="17"/>
      <c r="BNN2" s="17"/>
      <c r="BNO2" s="17"/>
      <c r="BNP2" s="17"/>
      <c r="BNQ2" s="17"/>
      <c r="BNR2" s="17"/>
      <c r="BNS2" s="17"/>
      <c r="BNT2" s="17"/>
      <c r="BNU2" s="17"/>
      <c r="BNV2" s="17"/>
      <c r="BNW2" s="17"/>
      <c r="BNX2" s="17"/>
      <c r="BNY2" s="17"/>
      <c r="BNZ2" s="17"/>
      <c r="BOA2" s="17"/>
      <c r="BOB2" s="17"/>
      <c r="BOC2" s="17"/>
      <c r="BOD2" s="17"/>
      <c r="BOE2" s="17"/>
      <c r="BOF2" s="17"/>
      <c r="BOG2" s="17"/>
      <c r="BOH2" s="17"/>
      <c r="BOI2" s="17"/>
      <c r="BOJ2" s="17"/>
      <c r="BOK2" s="17"/>
      <c r="BOL2" s="17"/>
      <c r="BOM2" s="17"/>
      <c r="BON2" s="17"/>
      <c r="BOO2" s="17"/>
      <c r="BOP2" s="17"/>
      <c r="BOQ2" s="17"/>
      <c r="BOR2" s="17"/>
      <c r="BOS2" s="17"/>
      <c r="BOT2" s="17"/>
      <c r="BOU2" s="17"/>
      <c r="BOV2" s="17"/>
      <c r="BOW2" s="17"/>
      <c r="BOX2" s="17"/>
      <c r="BOY2" s="17"/>
      <c r="BOZ2" s="17"/>
      <c r="BPA2" s="17"/>
      <c r="BPB2" s="17"/>
      <c r="BPC2" s="17"/>
      <c r="BPD2" s="17"/>
      <c r="BPE2" s="17"/>
      <c r="BPF2" s="17"/>
      <c r="BPG2" s="17"/>
      <c r="BPH2" s="17"/>
      <c r="BPI2" s="17"/>
      <c r="BPJ2" s="17"/>
      <c r="BPK2" s="17"/>
      <c r="BPL2" s="17"/>
      <c r="BPM2" s="17"/>
      <c r="BPN2" s="17"/>
      <c r="BPO2" s="17"/>
      <c r="BPP2" s="17"/>
      <c r="BPQ2" s="17"/>
      <c r="BPR2" s="17"/>
      <c r="BPS2" s="17"/>
      <c r="BPT2" s="17"/>
      <c r="BPU2" s="17"/>
      <c r="BPV2" s="17"/>
      <c r="BPW2" s="17"/>
      <c r="BPX2" s="17"/>
      <c r="BPY2" s="17"/>
      <c r="BPZ2" s="17"/>
      <c r="BQA2" s="17"/>
      <c r="BQB2" s="17"/>
      <c r="BQC2" s="17"/>
      <c r="BQD2" s="17"/>
      <c r="BQE2" s="17"/>
      <c r="BQF2" s="17"/>
      <c r="BQG2" s="17"/>
      <c r="BQH2" s="17"/>
      <c r="BQI2" s="17"/>
      <c r="BQJ2" s="17"/>
      <c r="BQK2" s="17"/>
      <c r="BQL2" s="17"/>
      <c r="BQM2" s="17"/>
      <c r="BQN2" s="17"/>
      <c r="BQO2" s="17"/>
      <c r="BQP2" s="17"/>
      <c r="BQQ2" s="17"/>
      <c r="BQR2" s="17"/>
      <c r="BQS2" s="17"/>
      <c r="BQT2" s="17"/>
      <c r="BQU2" s="17"/>
      <c r="BQV2" s="17"/>
      <c r="BQW2" s="17"/>
      <c r="BQX2" s="17"/>
      <c r="BQY2" s="17"/>
      <c r="BQZ2" s="17"/>
      <c r="BRA2" s="17"/>
      <c r="BRB2" s="17"/>
      <c r="BRC2" s="17"/>
      <c r="BRD2" s="17"/>
      <c r="BRE2" s="17"/>
      <c r="BRF2" s="17"/>
      <c r="BRG2" s="17"/>
      <c r="BRH2" s="17"/>
      <c r="BRI2" s="17"/>
      <c r="BRJ2" s="17"/>
      <c r="BRK2" s="17"/>
      <c r="BRL2" s="17"/>
      <c r="BRM2" s="17"/>
      <c r="BRN2" s="17"/>
      <c r="BRO2" s="17"/>
      <c r="BRP2" s="17"/>
      <c r="BRQ2" s="17"/>
      <c r="BRR2" s="17"/>
      <c r="BRS2" s="17"/>
      <c r="BRT2" s="17"/>
      <c r="BRU2" s="17"/>
      <c r="BRV2" s="17"/>
      <c r="BRW2" s="17"/>
      <c r="BRX2" s="17"/>
      <c r="BRY2" s="17"/>
      <c r="BRZ2" s="17"/>
      <c r="BSA2" s="17"/>
      <c r="BSB2" s="17"/>
      <c r="BSC2" s="17"/>
      <c r="BSD2" s="17"/>
      <c r="BSE2" s="17"/>
      <c r="BSF2" s="17"/>
      <c r="BSG2" s="17"/>
      <c r="BSH2" s="17"/>
      <c r="BSI2" s="17"/>
      <c r="BSJ2" s="17"/>
      <c r="BSK2" s="17"/>
      <c r="BSL2" s="17"/>
      <c r="BSM2" s="17"/>
      <c r="BSN2" s="17"/>
      <c r="BSO2" s="17"/>
      <c r="BSP2" s="17"/>
      <c r="BSQ2" s="17"/>
      <c r="BSR2" s="17"/>
      <c r="BSS2" s="17"/>
      <c r="BST2" s="17"/>
      <c r="BSU2" s="17"/>
      <c r="BSV2" s="17"/>
      <c r="BSW2" s="17"/>
      <c r="BSX2" s="17"/>
      <c r="BSY2" s="17"/>
      <c r="BSZ2" s="17"/>
      <c r="BTA2" s="17"/>
      <c r="BTB2" s="17"/>
      <c r="BTC2" s="17"/>
      <c r="BTD2" s="17"/>
      <c r="BTE2" s="17"/>
      <c r="BTF2" s="17"/>
      <c r="BTG2" s="17"/>
      <c r="BTH2" s="17"/>
      <c r="BTI2" s="17"/>
      <c r="BTJ2" s="17"/>
      <c r="BTK2" s="17"/>
      <c r="BTL2" s="17"/>
      <c r="BTM2" s="17"/>
      <c r="BTN2" s="17"/>
      <c r="BTO2" s="17"/>
      <c r="BTP2" s="17"/>
      <c r="BTQ2" s="17"/>
      <c r="BTR2" s="17"/>
      <c r="BTS2" s="17"/>
      <c r="BTT2" s="17"/>
      <c r="BTU2" s="17"/>
      <c r="BTV2" s="17"/>
      <c r="BTW2" s="17"/>
      <c r="BTX2" s="17"/>
      <c r="BTY2" s="17"/>
      <c r="BTZ2" s="17"/>
      <c r="BUA2" s="17"/>
      <c r="BUB2" s="17"/>
      <c r="BUC2" s="17"/>
      <c r="BUD2" s="17"/>
      <c r="BUE2" s="17"/>
      <c r="BUF2" s="17"/>
      <c r="BUG2" s="17"/>
      <c r="BUH2" s="17"/>
      <c r="BUI2" s="17"/>
      <c r="BUJ2" s="17"/>
      <c r="BUK2" s="17"/>
      <c r="BUL2" s="17"/>
      <c r="BUM2" s="17"/>
      <c r="BUN2" s="17"/>
      <c r="BUO2" s="17"/>
      <c r="BUP2" s="17"/>
      <c r="BUQ2" s="17"/>
      <c r="BUR2" s="17"/>
      <c r="BUS2" s="17"/>
      <c r="BUT2" s="17"/>
      <c r="BUU2" s="17"/>
      <c r="BUV2" s="17"/>
      <c r="BUW2" s="17"/>
      <c r="BUX2" s="17"/>
      <c r="BUY2" s="17"/>
      <c r="BUZ2" s="17"/>
      <c r="BVA2" s="17"/>
      <c r="BVB2" s="17"/>
      <c r="BVC2" s="17"/>
      <c r="BVD2" s="17"/>
      <c r="BVE2" s="17"/>
      <c r="BVF2" s="17"/>
      <c r="BVG2" s="17"/>
      <c r="BVH2" s="17"/>
      <c r="BVI2" s="17"/>
      <c r="BVJ2" s="17"/>
      <c r="BVK2" s="17"/>
      <c r="BVL2" s="17"/>
      <c r="BVM2" s="17"/>
      <c r="BVN2" s="17"/>
      <c r="BVO2" s="17"/>
      <c r="BVP2" s="17"/>
      <c r="BVQ2" s="17"/>
      <c r="BVR2" s="17"/>
      <c r="BVS2" s="17"/>
      <c r="BVT2" s="17"/>
      <c r="BVU2" s="17"/>
      <c r="BVV2" s="17"/>
      <c r="BVW2" s="17"/>
      <c r="BVX2" s="17"/>
      <c r="BVY2" s="17"/>
      <c r="BVZ2" s="17"/>
      <c r="BWA2" s="17"/>
      <c r="BWB2" s="17"/>
      <c r="BWC2" s="17"/>
      <c r="BWD2" s="17"/>
      <c r="BWE2" s="17"/>
      <c r="BWF2" s="17"/>
      <c r="BWG2" s="17"/>
      <c r="BWH2" s="17"/>
      <c r="BWI2" s="17"/>
      <c r="BWJ2" s="17"/>
      <c r="BWK2" s="17"/>
      <c r="BWL2" s="17"/>
      <c r="BWM2" s="17"/>
      <c r="BWN2" s="17"/>
      <c r="BWO2" s="17"/>
      <c r="BWP2" s="17"/>
      <c r="BWQ2" s="17"/>
      <c r="BWR2" s="17"/>
      <c r="BWS2" s="17"/>
      <c r="BWT2" s="17"/>
      <c r="BWU2" s="17"/>
      <c r="BWV2" s="17"/>
      <c r="BWW2" s="17"/>
      <c r="BWX2" s="17"/>
      <c r="BWY2" s="17"/>
      <c r="BWZ2" s="17"/>
      <c r="BXA2" s="17"/>
      <c r="BXB2" s="17"/>
      <c r="BXC2" s="17"/>
      <c r="BXD2" s="17"/>
      <c r="BXE2" s="17"/>
      <c r="BXF2" s="17"/>
      <c r="BXG2" s="17"/>
      <c r="BXH2" s="17"/>
      <c r="BXI2" s="17"/>
      <c r="BXJ2" s="17"/>
      <c r="BXK2" s="17"/>
      <c r="BXL2" s="17"/>
      <c r="BXM2" s="17"/>
      <c r="BXN2" s="17"/>
      <c r="BXO2" s="17"/>
      <c r="BXP2" s="17"/>
      <c r="BXQ2" s="17"/>
      <c r="BXR2" s="17"/>
      <c r="BXS2" s="17"/>
      <c r="BXT2" s="17"/>
      <c r="BXU2" s="17"/>
      <c r="BXV2" s="17"/>
      <c r="BXW2" s="17"/>
      <c r="BXX2" s="17"/>
      <c r="BXY2" s="17"/>
      <c r="BXZ2" s="17"/>
      <c r="BYA2" s="17"/>
      <c r="BYB2" s="17"/>
      <c r="BYC2" s="17"/>
      <c r="BYD2" s="17"/>
      <c r="BYE2" s="17"/>
      <c r="BYF2" s="17"/>
      <c r="BYG2" s="17"/>
      <c r="BYH2" s="17"/>
      <c r="BYI2" s="17"/>
      <c r="BYJ2" s="17"/>
      <c r="BYK2" s="17"/>
      <c r="BYL2" s="17"/>
      <c r="BYM2" s="17"/>
      <c r="BYN2" s="17"/>
      <c r="BYO2" s="17"/>
      <c r="BYP2" s="17"/>
      <c r="BYQ2" s="17"/>
      <c r="BYR2" s="17"/>
      <c r="BYS2" s="17"/>
      <c r="BYT2" s="17"/>
      <c r="BYU2" s="17"/>
      <c r="BYV2" s="17"/>
      <c r="BYW2" s="17"/>
      <c r="BYX2" s="17"/>
      <c r="BYY2" s="17"/>
      <c r="BYZ2" s="17"/>
      <c r="BZA2" s="17"/>
      <c r="BZB2" s="17"/>
      <c r="BZC2" s="17"/>
      <c r="BZD2" s="17"/>
      <c r="BZE2" s="17"/>
      <c r="BZF2" s="17"/>
      <c r="BZG2" s="17"/>
      <c r="BZH2" s="17"/>
      <c r="BZI2" s="17"/>
      <c r="BZJ2" s="17"/>
      <c r="BZK2" s="17"/>
      <c r="BZL2" s="17"/>
      <c r="BZM2" s="17"/>
      <c r="BZN2" s="17"/>
      <c r="BZO2" s="17"/>
      <c r="BZP2" s="17"/>
      <c r="BZQ2" s="17"/>
      <c r="BZR2" s="17"/>
      <c r="BZS2" s="17"/>
      <c r="BZT2" s="17"/>
      <c r="BZU2" s="18"/>
    </row>
    <row r="3" spans="1:2049" outlineLevel="1" x14ac:dyDescent="0.3">
      <c r="A3" s="28" t="s">
        <v>178</v>
      </c>
      <c r="B3" s="17"/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7"/>
      <c r="AP3" s="17"/>
      <c r="AQ3" s="17" t="s">
        <v>463</v>
      </c>
      <c r="AR3" s="17" t="s">
        <v>402</v>
      </c>
      <c r="AS3" s="17" t="s">
        <v>20</v>
      </c>
      <c r="AT3" s="17" t="s">
        <v>404</v>
      </c>
      <c r="AU3" s="17" t="s">
        <v>20</v>
      </c>
      <c r="AV3" s="17">
        <v>0</v>
      </c>
      <c r="AW3" s="17">
        <v>0</v>
      </c>
      <c r="AX3" s="17">
        <v>0</v>
      </c>
      <c r="AY3" s="17">
        <v>50</v>
      </c>
      <c r="AZ3" s="17">
        <v>100</v>
      </c>
      <c r="BA3" s="17" t="s">
        <v>29</v>
      </c>
      <c r="BB3" s="17">
        <v>20</v>
      </c>
      <c r="BC3" s="17">
        <v>40</v>
      </c>
      <c r="BD3" s="17">
        <v>10</v>
      </c>
      <c r="BE3" s="17">
        <v>10</v>
      </c>
      <c r="BF3" s="17">
        <v>2</v>
      </c>
      <c r="BG3" s="17">
        <v>10</v>
      </c>
      <c r="BH3" s="17">
        <v>0</v>
      </c>
      <c r="BI3" s="17">
        <v>40</v>
      </c>
      <c r="BJ3" s="17">
        <v>10</v>
      </c>
      <c r="BK3" s="17">
        <v>10</v>
      </c>
      <c r="BL3" s="17">
        <v>2</v>
      </c>
      <c r="BM3" s="17">
        <v>10</v>
      </c>
      <c r="BN3" s="17">
        <v>0</v>
      </c>
      <c r="BO3" s="17">
        <v>60</v>
      </c>
      <c r="BP3" s="17">
        <v>40</v>
      </c>
      <c r="BQ3" s="17">
        <v>25</v>
      </c>
      <c r="BR3" s="17">
        <v>2</v>
      </c>
      <c r="BS3" s="17">
        <v>0</v>
      </c>
      <c r="BT3" s="17">
        <v>40</v>
      </c>
      <c r="BU3" s="17">
        <v>20</v>
      </c>
      <c r="BV3" s="17">
        <v>10</v>
      </c>
      <c r="BW3" s="17">
        <v>40</v>
      </c>
      <c r="BX3" s="17">
        <v>19</v>
      </c>
      <c r="BY3" s="17">
        <v>14</v>
      </c>
      <c r="BZ3" s="17">
        <v>3</v>
      </c>
      <c r="CA3" s="17">
        <v>1</v>
      </c>
      <c r="CB3" s="17">
        <v>0</v>
      </c>
      <c r="CC3" s="17">
        <v>40</v>
      </c>
      <c r="CD3" s="17">
        <v>19</v>
      </c>
      <c r="CE3" s="17">
        <v>14</v>
      </c>
      <c r="CF3" s="17">
        <v>3</v>
      </c>
      <c r="CG3" s="17">
        <v>1</v>
      </c>
      <c r="CH3" s="17">
        <v>0</v>
      </c>
      <c r="CI3" s="17">
        <v>60</v>
      </c>
      <c r="CJ3" s="17">
        <v>40</v>
      </c>
      <c r="CK3" s="17">
        <v>25</v>
      </c>
      <c r="CL3" s="17">
        <v>2</v>
      </c>
      <c r="CM3" s="17">
        <v>0</v>
      </c>
      <c r="CN3" s="17">
        <v>0</v>
      </c>
      <c r="CO3" s="17">
        <v>0</v>
      </c>
      <c r="CP3" s="17">
        <v>0</v>
      </c>
      <c r="CQ3" s="17"/>
      <c r="CR3" s="17"/>
      <c r="CS3" s="17"/>
      <c r="CT3" s="17"/>
      <c r="CU3" s="17"/>
      <c r="CV3" s="17"/>
      <c r="CW3" s="17"/>
      <c r="CX3" s="17"/>
      <c r="CY3" s="17"/>
      <c r="CZ3" s="17"/>
      <c r="DA3" s="17"/>
      <c r="DB3" s="17"/>
      <c r="DC3" s="17"/>
      <c r="DD3" s="17"/>
      <c r="DE3" s="17"/>
      <c r="DF3" s="17"/>
      <c r="DG3" s="17"/>
      <c r="DH3" s="17"/>
      <c r="DI3" s="17"/>
      <c r="DJ3" s="17"/>
      <c r="DK3" s="17"/>
      <c r="DL3" s="17"/>
      <c r="DM3" s="17"/>
      <c r="DN3" s="17"/>
      <c r="DO3" s="17"/>
      <c r="DP3" s="17"/>
      <c r="DQ3" s="17"/>
      <c r="DR3" s="17"/>
      <c r="DS3" s="17"/>
      <c r="DT3" s="17"/>
      <c r="DU3" s="17"/>
      <c r="DV3" s="17"/>
      <c r="DW3" s="17"/>
      <c r="DX3" s="17"/>
      <c r="DY3" s="17"/>
      <c r="DZ3" s="17"/>
      <c r="EA3" s="17"/>
      <c r="EB3" s="17"/>
      <c r="EC3" s="17"/>
      <c r="ED3" s="17"/>
      <c r="EE3" s="17"/>
      <c r="EF3" s="17"/>
      <c r="EG3" s="17"/>
      <c r="EH3" s="17"/>
      <c r="EI3" s="17"/>
      <c r="EJ3" s="17"/>
      <c r="EK3" s="17"/>
      <c r="EL3" s="17"/>
      <c r="EM3" s="17"/>
      <c r="EN3" s="17"/>
      <c r="EO3" s="17"/>
      <c r="EP3" s="17"/>
      <c r="EQ3" s="17"/>
      <c r="ER3" s="17"/>
      <c r="ES3" s="17"/>
      <c r="ET3" s="17"/>
      <c r="EU3" s="17"/>
      <c r="EV3" s="17"/>
      <c r="EW3" s="17"/>
      <c r="EX3" s="17"/>
      <c r="EY3" s="17"/>
      <c r="EZ3" s="17"/>
      <c r="FA3" s="17"/>
      <c r="FB3" s="17"/>
      <c r="FC3" s="17"/>
      <c r="FD3" s="17"/>
      <c r="FE3" s="17" t="s">
        <v>325</v>
      </c>
      <c r="FF3" s="17" t="s">
        <v>356</v>
      </c>
      <c r="FG3" s="17">
        <v>36</v>
      </c>
      <c r="FH3" s="17" t="s">
        <v>350</v>
      </c>
      <c r="FI3" s="17">
        <v>30</v>
      </c>
      <c r="FJ3" s="17" t="s">
        <v>29</v>
      </c>
      <c r="FK3" s="17" t="s">
        <v>215</v>
      </c>
      <c r="FL3" s="17" t="s">
        <v>214</v>
      </c>
      <c r="FM3" s="17" t="s">
        <v>234</v>
      </c>
      <c r="FN3" s="17">
        <v>6</v>
      </c>
      <c r="FO3" s="17" t="s">
        <v>352</v>
      </c>
      <c r="FP3" s="17" t="s">
        <v>30</v>
      </c>
      <c r="FQ3" s="17">
        <v>0</v>
      </c>
      <c r="FR3" s="17">
        <v>0</v>
      </c>
      <c r="FS3" s="17">
        <v>0</v>
      </c>
      <c r="FT3" s="17">
        <v>0</v>
      </c>
      <c r="FU3" s="17" t="s">
        <v>266</v>
      </c>
      <c r="FV3" s="17">
        <v>100</v>
      </c>
      <c r="FW3" s="17">
        <v>100</v>
      </c>
      <c r="FX3" s="17" t="s">
        <v>268</v>
      </c>
      <c r="FY3" s="17">
        <v>15</v>
      </c>
      <c r="FZ3" s="17">
        <v>20</v>
      </c>
      <c r="GA3" s="17">
        <v>-15</v>
      </c>
      <c r="GB3" s="17">
        <v>-20</v>
      </c>
      <c r="GC3" s="17">
        <v>-40</v>
      </c>
      <c r="GD3" s="17">
        <v>-50</v>
      </c>
      <c r="GE3" s="17" t="s">
        <v>30</v>
      </c>
      <c r="GF3" s="17" t="s">
        <v>30</v>
      </c>
      <c r="GG3" s="17" t="s">
        <v>30</v>
      </c>
      <c r="GH3" s="17" t="s">
        <v>30</v>
      </c>
      <c r="GI3" s="17" t="s">
        <v>30</v>
      </c>
      <c r="GJ3" s="17" t="s">
        <v>30</v>
      </c>
      <c r="GK3" s="17" t="s">
        <v>30</v>
      </c>
      <c r="GL3" s="17" t="s">
        <v>30</v>
      </c>
      <c r="GM3" s="17" t="s">
        <v>30</v>
      </c>
      <c r="GN3" s="17" t="s">
        <v>30</v>
      </c>
      <c r="GO3" s="17" t="s">
        <v>30</v>
      </c>
      <c r="GP3" s="17" t="s">
        <v>30</v>
      </c>
      <c r="GQ3" s="17" t="s">
        <v>234</v>
      </c>
      <c r="GR3" s="17">
        <v>0</v>
      </c>
      <c r="GS3" s="17" t="s">
        <v>234</v>
      </c>
      <c r="GT3" s="17">
        <v>0</v>
      </c>
      <c r="GU3" s="17" t="s">
        <v>234</v>
      </c>
      <c r="GV3" s="17">
        <v>0</v>
      </c>
      <c r="GW3" s="17" t="s">
        <v>234</v>
      </c>
      <c r="GX3" s="17">
        <v>0</v>
      </c>
      <c r="GY3" s="17">
        <v>0</v>
      </c>
      <c r="GZ3" s="17">
        <v>0</v>
      </c>
      <c r="HA3" s="17">
        <v>0</v>
      </c>
      <c r="HB3" s="17">
        <v>0</v>
      </c>
      <c r="HC3" s="17" t="s">
        <v>266</v>
      </c>
      <c r="HD3" s="17">
        <v>100</v>
      </c>
      <c r="HE3" s="17">
        <v>100</v>
      </c>
      <c r="HF3" s="17" t="s">
        <v>268</v>
      </c>
      <c r="HG3" s="17">
        <v>-15</v>
      </c>
      <c r="HH3" s="17">
        <v>-20</v>
      </c>
      <c r="HI3" s="17">
        <v>-15</v>
      </c>
      <c r="HJ3" s="17">
        <v>-20</v>
      </c>
      <c r="HK3" s="17">
        <v>40</v>
      </c>
      <c r="HL3" s="17">
        <v>50</v>
      </c>
      <c r="HM3" s="17" t="s">
        <v>30</v>
      </c>
      <c r="HN3" s="17" t="s">
        <v>30</v>
      </c>
      <c r="HO3" s="17" t="s">
        <v>30</v>
      </c>
      <c r="HP3" s="17" t="s">
        <v>30</v>
      </c>
      <c r="HQ3" s="17" t="s">
        <v>30</v>
      </c>
      <c r="HR3" s="17" t="s">
        <v>30</v>
      </c>
      <c r="HS3" s="17" t="s">
        <v>30</v>
      </c>
      <c r="HT3" s="17" t="s">
        <v>30</v>
      </c>
      <c r="HU3" s="17" t="s">
        <v>30</v>
      </c>
      <c r="HV3" s="17" t="s">
        <v>30</v>
      </c>
      <c r="HW3" s="17" t="s">
        <v>30</v>
      </c>
      <c r="HX3" s="17" t="s">
        <v>30</v>
      </c>
      <c r="HY3" s="17" t="s">
        <v>234</v>
      </c>
      <c r="HZ3" s="17">
        <v>0</v>
      </c>
      <c r="IA3" s="17" t="s">
        <v>234</v>
      </c>
      <c r="IB3" s="17">
        <v>0</v>
      </c>
      <c r="IC3" s="17" t="s">
        <v>234</v>
      </c>
      <c r="ID3" s="17">
        <v>0</v>
      </c>
      <c r="IE3" s="17" t="s">
        <v>234</v>
      </c>
      <c r="IF3" s="17">
        <v>0</v>
      </c>
      <c r="IG3" s="17">
        <v>0</v>
      </c>
      <c r="IH3" s="17">
        <v>0</v>
      </c>
      <c r="II3" s="17">
        <v>0</v>
      </c>
      <c r="IJ3" s="17">
        <v>0</v>
      </c>
      <c r="IK3" s="17" t="s">
        <v>266</v>
      </c>
      <c r="IL3" s="17">
        <v>100</v>
      </c>
      <c r="IM3" s="17">
        <v>100</v>
      </c>
      <c r="IN3" s="17" t="s">
        <v>268</v>
      </c>
      <c r="IO3" s="17">
        <v>-15</v>
      </c>
      <c r="IP3" s="17">
        <v>-20</v>
      </c>
      <c r="IQ3" s="17">
        <v>15</v>
      </c>
      <c r="IR3" s="17">
        <v>20</v>
      </c>
      <c r="IS3" s="17">
        <v>-40</v>
      </c>
      <c r="IT3" s="17">
        <v>-50</v>
      </c>
      <c r="IU3" s="17" t="s">
        <v>30</v>
      </c>
      <c r="IV3" s="17" t="s">
        <v>30</v>
      </c>
      <c r="IW3" s="17" t="s">
        <v>30</v>
      </c>
      <c r="IX3" s="17" t="s">
        <v>30</v>
      </c>
      <c r="IY3" s="17" t="s">
        <v>30</v>
      </c>
      <c r="IZ3" s="17" t="s">
        <v>30</v>
      </c>
      <c r="JA3" s="17" t="s">
        <v>30</v>
      </c>
      <c r="JB3" s="17" t="s">
        <v>30</v>
      </c>
      <c r="JC3" s="17" t="s">
        <v>30</v>
      </c>
      <c r="JD3" s="17" t="s">
        <v>30</v>
      </c>
      <c r="JE3" s="17" t="s">
        <v>30</v>
      </c>
      <c r="JF3" s="17" t="s">
        <v>30</v>
      </c>
      <c r="JG3" s="17" t="s">
        <v>234</v>
      </c>
      <c r="JH3" s="17">
        <v>0</v>
      </c>
      <c r="JI3" s="17" t="s">
        <v>234</v>
      </c>
      <c r="JJ3" s="17">
        <v>0</v>
      </c>
      <c r="JK3" s="17" t="s">
        <v>234</v>
      </c>
      <c r="JL3" s="17">
        <v>0</v>
      </c>
      <c r="JM3" s="17" t="s">
        <v>234</v>
      </c>
      <c r="JN3" s="17">
        <v>0</v>
      </c>
      <c r="JO3" s="17">
        <v>0</v>
      </c>
      <c r="JP3" s="17">
        <v>0</v>
      </c>
      <c r="JQ3" s="17">
        <v>0</v>
      </c>
      <c r="JR3" s="17">
        <v>0</v>
      </c>
      <c r="JS3" s="17" t="s">
        <v>266</v>
      </c>
      <c r="JT3" s="17">
        <v>100</v>
      </c>
      <c r="JU3" s="17">
        <v>100</v>
      </c>
      <c r="JV3" s="17" t="s">
        <v>268</v>
      </c>
      <c r="JW3" s="17">
        <v>15</v>
      </c>
      <c r="JX3" s="17">
        <v>20</v>
      </c>
      <c r="JY3" s="17">
        <v>15</v>
      </c>
      <c r="JZ3" s="17">
        <v>20</v>
      </c>
      <c r="KA3" s="17">
        <v>40</v>
      </c>
      <c r="KB3" s="17">
        <v>50</v>
      </c>
      <c r="KC3" s="17" t="s">
        <v>30</v>
      </c>
      <c r="KD3" s="17" t="s">
        <v>30</v>
      </c>
      <c r="KE3" s="17" t="s">
        <v>30</v>
      </c>
      <c r="KF3" s="17" t="s">
        <v>30</v>
      </c>
      <c r="KG3" s="17" t="s">
        <v>30</v>
      </c>
      <c r="KH3" s="17" t="s">
        <v>30</v>
      </c>
      <c r="KI3" s="17" t="s">
        <v>30</v>
      </c>
      <c r="KJ3" s="17" t="s">
        <v>30</v>
      </c>
      <c r="KK3" s="17" t="s">
        <v>30</v>
      </c>
      <c r="KL3" s="17" t="s">
        <v>30</v>
      </c>
      <c r="KM3" s="17" t="s">
        <v>30</v>
      </c>
      <c r="KN3" s="17" t="s">
        <v>30</v>
      </c>
      <c r="KO3" s="17" t="s">
        <v>234</v>
      </c>
      <c r="KP3" s="17">
        <v>0</v>
      </c>
      <c r="KQ3" s="17" t="s">
        <v>234</v>
      </c>
      <c r="KR3" s="17">
        <v>0</v>
      </c>
      <c r="KS3" s="17" t="s">
        <v>234</v>
      </c>
      <c r="KT3" s="17">
        <v>0</v>
      </c>
      <c r="KU3" s="17" t="s">
        <v>234</v>
      </c>
      <c r="KV3" s="17">
        <v>0</v>
      </c>
      <c r="KW3" s="17">
        <v>0</v>
      </c>
      <c r="KX3" s="17">
        <v>0</v>
      </c>
      <c r="KY3" s="17">
        <v>0</v>
      </c>
      <c r="KZ3" s="17">
        <v>0</v>
      </c>
      <c r="LA3" s="17" t="s">
        <v>264</v>
      </c>
      <c r="LB3" s="17">
        <v>0</v>
      </c>
      <c r="LC3" s="17">
        <v>0</v>
      </c>
      <c r="LD3" s="17" t="s">
        <v>268</v>
      </c>
      <c r="LE3" s="17">
        <v>0</v>
      </c>
      <c r="LF3" s="17">
        <v>0</v>
      </c>
      <c r="LG3" s="17">
        <v>75</v>
      </c>
      <c r="LH3" s="17">
        <v>100</v>
      </c>
      <c r="LI3" s="17">
        <v>0</v>
      </c>
      <c r="LJ3" s="17">
        <v>0</v>
      </c>
      <c r="LK3" s="17" t="s">
        <v>29</v>
      </c>
      <c r="LL3" s="17" t="s">
        <v>29</v>
      </c>
      <c r="LM3" s="17" t="s">
        <v>29</v>
      </c>
      <c r="LN3" s="17" t="s">
        <v>29</v>
      </c>
      <c r="LO3" s="17" t="s">
        <v>29</v>
      </c>
      <c r="LP3" s="17" t="s">
        <v>29</v>
      </c>
      <c r="LQ3" s="17" t="s">
        <v>29</v>
      </c>
      <c r="LR3" s="17" t="s">
        <v>29</v>
      </c>
      <c r="LS3" s="17" t="s">
        <v>29</v>
      </c>
      <c r="LT3" s="17" t="s">
        <v>29</v>
      </c>
      <c r="LU3" s="17" t="s">
        <v>29</v>
      </c>
      <c r="LV3" s="17" t="s">
        <v>29</v>
      </c>
      <c r="LW3" s="17" t="s">
        <v>234</v>
      </c>
      <c r="LX3" s="17">
        <v>0</v>
      </c>
      <c r="LY3" s="17" t="s">
        <v>234</v>
      </c>
      <c r="LZ3" s="17">
        <v>0</v>
      </c>
      <c r="MA3" s="17" t="s">
        <v>234</v>
      </c>
      <c r="MB3" s="17">
        <v>0</v>
      </c>
      <c r="MC3" s="17" t="s">
        <v>234</v>
      </c>
      <c r="MD3" s="17">
        <v>0</v>
      </c>
      <c r="ME3" s="17">
        <v>0</v>
      </c>
      <c r="MF3" s="17">
        <v>0</v>
      </c>
      <c r="MG3" s="17">
        <v>0</v>
      </c>
      <c r="MH3" s="17">
        <v>0</v>
      </c>
      <c r="MI3" s="17" t="s">
        <v>264</v>
      </c>
      <c r="MJ3" s="17">
        <v>0</v>
      </c>
      <c r="MK3" s="17">
        <v>0</v>
      </c>
      <c r="ML3" s="17" t="s">
        <v>268</v>
      </c>
      <c r="MM3" s="17">
        <v>75</v>
      </c>
      <c r="MN3" s="17">
        <v>100</v>
      </c>
      <c r="MO3" s="17">
        <v>0</v>
      </c>
      <c r="MP3" s="17">
        <v>0</v>
      </c>
      <c r="MQ3" s="17">
        <v>0</v>
      </c>
      <c r="MR3" s="17">
        <v>0</v>
      </c>
      <c r="MS3" s="17" t="s">
        <v>29</v>
      </c>
      <c r="MT3" s="17" t="s">
        <v>29</v>
      </c>
      <c r="MU3" s="17" t="s">
        <v>29</v>
      </c>
      <c r="MV3" s="17" t="s">
        <v>29</v>
      </c>
      <c r="MW3" s="17" t="s">
        <v>29</v>
      </c>
      <c r="MX3" s="17" t="s">
        <v>29</v>
      </c>
      <c r="MY3" s="17" t="s">
        <v>29</v>
      </c>
      <c r="MZ3" s="17" t="s">
        <v>29</v>
      </c>
      <c r="NA3" s="17" t="s">
        <v>29</v>
      </c>
      <c r="NB3" s="17" t="s">
        <v>29</v>
      </c>
      <c r="NC3" s="17" t="s">
        <v>29</v>
      </c>
      <c r="ND3" s="17" t="s">
        <v>29</v>
      </c>
      <c r="NE3" s="17" t="s">
        <v>234</v>
      </c>
      <c r="NF3" s="17">
        <v>0</v>
      </c>
      <c r="NG3" s="17" t="s">
        <v>234</v>
      </c>
      <c r="NH3" s="17">
        <v>0</v>
      </c>
      <c r="NI3" s="17" t="s">
        <v>234</v>
      </c>
      <c r="NJ3" s="17">
        <v>0</v>
      </c>
      <c r="NK3" s="17" t="s">
        <v>234</v>
      </c>
      <c r="NL3" s="17">
        <v>0</v>
      </c>
      <c r="NM3" s="17">
        <v>0</v>
      </c>
      <c r="NN3" s="17">
        <v>0</v>
      </c>
      <c r="NO3" s="17">
        <v>0</v>
      </c>
      <c r="NP3" s="17">
        <v>0</v>
      </c>
      <c r="NQ3" s="17" t="s">
        <v>264</v>
      </c>
      <c r="NR3" s="17">
        <v>0</v>
      </c>
      <c r="NS3" s="17">
        <v>0</v>
      </c>
      <c r="NT3" s="17" t="s">
        <v>268</v>
      </c>
      <c r="NU3" s="17">
        <v>0</v>
      </c>
      <c r="NV3" s="17">
        <v>0</v>
      </c>
      <c r="NW3" s="17">
        <v>0</v>
      </c>
      <c r="NX3" s="17">
        <v>0</v>
      </c>
      <c r="NY3" s="17">
        <v>75</v>
      </c>
      <c r="NZ3" s="17">
        <v>100</v>
      </c>
      <c r="OA3" s="17" t="s">
        <v>29</v>
      </c>
      <c r="OB3" s="17" t="s">
        <v>29</v>
      </c>
      <c r="OC3" s="17" t="s">
        <v>29</v>
      </c>
      <c r="OD3" s="17" t="s">
        <v>29</v>
      </c>
      <c r="OE3" s="17" t="s">
        <v>29</v>
      </c>
      <c r="OF3" s="17" t="s">
        <v>29</v>
      </c>
      <c r="OG3" s="17" t="s">
        <v>29</v>
      </c>
      <c r="OH3" s="17" t="s">
        <v>29</v>
      </c>
      <c r="OI3" s="17" t="s">
        <v>29</v>
      </c>
      <c r="OJ3" s="17" t="s">
        <v>29</v>
      </c>
      <c r="OK3" s="17" t="s">
        <v>29</v>
      </c>
      <c r="OL3" s="17" t="s">
        <v>29</v>
      </c>
      <c r="OM3" s="17" t="s">
        <v>234</v>
      </c>
      <c r="ON3" s="17">
        <v>0</v>
      </c>
      <c r="OO3" s="17" t="s">
        <v>234</v>
      </c>
      <c r="OP3" s="17">
        <v>0</v>
      </c>
      <c r="OQ3" s="17" t="s">
        <v>234</v>
      </c>
      <c r="OR3" s="17">
        <v>0</v>
      </c>
      <c r="OS3" s="17" t="s">
        <v>234</v>
      </c>
      <c r="OT3" s="17">
        <v>0</v>
      </c>
      <c r="OU3" s="17">
        <v>0</v>
      </c>
      <c r="OV3" s="17">
        <v>0</v>
      </c>
      <c r="OW3" s="17">
        <v>0</v>
      </c>
      <c r="OX3" s="17">
        <v>0</v>
      </c>
      <c r="OY3" s="17" t="s">
        <v>264</v>
      </c>
      <c r="OZ3" s="17">
        <v>0</v>
      </c>
      <c r="PA3" s="17">
        <v>0</v>
      </c>
      <c r="PB3" s="17" t="s">
        <v>268</v>
      </c>
      <c r="PC3" s="17">
        <v>0</v>
      </c>
      <c r="PD3" s="17">
        <v>0</v>
      </c>
      <c r="PE3" s="17">
        <v>0</v>
      </c>
      <c r="PF3" s="17">
        <v>0</v>
      </c>
      <c r="PG3" s="17">
        <v>0</v>
      </c>
      <c r="PH3" s="17">
        <v>0</v>
      </c>
      <c r="PI3" s="17" t="s">
        <v>29</v>
      </c>
      <c r="PJ3" s="17" t="s">
        <v>29</v>
      </c>
      <c r="PK3" s="17" t="s">
        <v>29</v>
      </c>
      <c r="PL3" s="17" t="s">
        <v>29</v>
      </c>
      <c r="PM3" s="17" t="s">
        <v>29</v>
      </c>
      <c r="PN3" s="17" t="s">
        <v>29</v>
      </c>
      <c r="PO3" s="17" t="s">
        <v>29</v>
      </c>
      <c r="PP3" s="17" t="s">
        <v>29</v>
      </c>
      <c r="PQ3" s="17" t="s">
        <v>29</v>
      </c>
      <c r="PR3" s="17" t="s">
        <v>29</v>
      </c>
      <c r="PS3" s="17" t="s">
        <v>29</v>
      </c>
      <c r="PT3" s="17" t="s">
        <v>29</v>
      </c>
      <c r="PU3" s="17" t="s">
        <v>234</v>
      </c>
      <c r="PV3" s="17">
        <v>0</v>
      </c>
      <c r="PW3" s="17" t="s">
        <v>234</v>
      </c>
      <c r="PX3" s="17">
        <v>0</v>
      </c>
      <c r="PY3" s="17" t="s">
        <v>234</v>
      </c>
      <c r="PZ3" s="17">
        <v>0</v>
      </c>
      <c r="QA3" s="17" t="s">
        <v>234</v>
      </c>
      <c r="QB3" s="17">
        <v>0</v>
      </c>
      <c r="QC3" s="17" t="s">
        <v>284</v>
      </c>
      <c r="QD3" s="17" t="s">
        <v>284</v>
      </c>
      <c r="QE3" s="17" t="s">
        <v>284</v>
      </c>
      <c r="QF3" s="17" t="s">
        <v>284</v>
      </c>
      <c r="QG3" s="17" t="s">
        <v>284</v>
      </c>
      <c r="QH3" s="17" t="s">
        <v>284</v>
      </c>
      <c r="QI3" s="17" t="s">
        <v>284</v>
      </c>
      <c r="QJ3" s="17" t="s">
        <v>284</v>
      </c>
      <c r="QK3" s="17">
        <v>-100</v>
      </c>
      <c r="QL3" s="17">
        <v>-100</v>
      </c>
      <c r="QM3" s="17">
        <v>-100</v>
      </c>
      <c r="QN3" s="17">
        <v>-100</v>
      </c>
      <c r="QO3" s="17">
        <v>-100</v>
      </c>
      <c r="QP3" s="17">
        <v>-100</v>
      </c>
      <c r="QQ3" s="17">
        <v>-100</v>
      </c>
      <c r="QR3" s="17">
        <v>-100</v>
      </c>
      <c r="QS3" s="17">
        <v>100</v>
      </c>
      <c r="QT3" s="17">
        <v>100</v>
      </c>
      <c r="QU3" s="17">
        <v>100</v>
      </c>
      <c r="QV3" s="17">
        <v>100</v>
      </c>
      <c r="QW3" s="17">
        <v>100</v>
      </c>
      <c r="QX3" s="17">
        <v>100</v>
      </c>
      <c r="QY3" s="17">
        <v>100</v>
      </c>
      <c r="QZ3" s="17">
        <v>100</v>
      </c>
      <c r="RA3" s="17"/>
      <c r="RB3" s="17"/>
      <c r="RC3" s="17"/>
      <c r="RD3" s="17"/>
      <c r="RE3" s="17"/>
      <c r="RF3" s="17"/>
      <c r="RG3" s="17"/>
      <c r="RH3" s="17"/>
      <c r="RI3" s="17"/>
      <c r="RJ3" s="17"/>
      <c r="RK3" s="17"/>
      <c r="RL3" s="17"/>
      <c r="RM3" s="17"/>
      <c r="RN3" s="17"/>
      <c r="RO3" s="17"/>
      <c r="RP3" s="17"/>
      <c r="RQ3" s="17"/>
      <c r="RR3" s="17"/>
      <c r="RS3" s="17"/>
      <c r="RT3" s="17"/>
      <c r="RU3" s="17"/>
      <c r="RV3" s="17"/>
      <c r="RW3" s="17"/>
      <c r="RX3" s="17"/>
      <c r="RY3" s="17"/>
      <c r="RZ3" s="17"/>
      <c r="SA3" s="17"/>
      <c r="SB3" s="17"/>
      <c r="SC3" s="17"/>
      <c r="SD3" s="17"/>
      <c r="SE3" s="17"/>
      <c r="SF3" s="17"/>
      <c r="SG3" s="17"/>
      <c r="SH3" s="17"/>
      <c r="SI3" s="17"/>
      <c r="SJ3" s="17"/>
      <c r="SK3" s="17"/>
      <c r="SL3" s="17"/>
      <c r="SM3" s="17"/>
      <c r="SN3" s="17"/>
      <c r="SO3" s="17"/>
      <c r="SP3" s="17"/>
      <c r="SQ3" s="17"/>
      <c r="SR3" s="17"/>
      <c r="SS3" s="17"/>
      <c r="ST3" s="17"/>
      <c r="SU3" s="17"/>
      <c r="SV3" s="17"/>
      <c r="SW3" s="17"/>
      <c r="SX3" s="17"/>
      <c r="SY3" s="17"/>
      <c r="SZ3" s="17"/>
      <c r="TA3" s="17"/>
      <c r="TB3" s="17"/>
      <c r="TC3" s="17"/>
      <c r="TD3" s="17"/>
      <c r="TE3" s="17"/>
      <c r="TF3" s="17"/>
      <c r="TG3" s="17"/>
      <c r="TH3" s="17"/>
      <c r="TI3" s="17"/>
      <c r="TJ3" s="17"/>
      <c r="TK3" s="17"/>
      <c r="TL3" s="17"/>
      <c r="TM3" s="17"/>
      <c r="TN3" s="17"/>
      <c r="TO3" s="17"/>
      <c r="TP3" s="17"/>
      <c r="TQ3" s="17"/>
      <c r="TR3" s="17"/>
      <c r="TS3" s="17"/>
      <c r="TT3" s="17"/>
      <c r="TU3" s="17"/>
      <c r="TV3" s="17"/>
      <c r="TW3" s="17"/>
      <c r="TX3" s="17"/>
      <c r="TY3" s="17"/>
      <c r="TZ3" s="17"/>
      <c r="UA3" s="17"/>
      <c r="UB3" s="17"/>
      <c r="UC3" s="17"/>
      <c r="UD3" s="17"/>
      <c r="UE3" s="17"/>
      <c r="UF3" s="17"/>
      <c r="UG3" s="17"/>
      <c r="UH3" s="17"/>
      <c r="UI3" s="17"/>
      <c r="UJ3" s="17"/>
      <c r="UK3" s="17">
        <v>0</v>
      </c>
      <c r="UL3" s="17">
        <v>17</v>
      </c>
      <c r="UM3" s="17">
        <v>33</v>
      </c>
      <c r="UN3" s="17">
        <v>50</v>
      </c>
      <c r="UO3" s="17">
        <v>67</v>
      </c>
      <c r="UP3" s="17">
        <v>83</v>
      </c>
      <c r="UQ3" s="17">
        <v>100</v>
      </c>
      <c r="UR3" s="17">
        <v>0</v>
      </c>
      <c r="US3" s="17">
        <v>0</v>
      </c>
      <c r="UT3" s="17">
        <v>17</v>
      </c>
      <c r="UU3" s="17">
        <v>33</v>
      </c>
      <c r="UV3" s="17">
        <v>50</v>
      </c>
      <c r="UW3" s="17">
        <v>67</v>
      </c>
      <c r="UX3" s="17">
        <v>83</v>
      </c>
      <c r="UY3" s="17">
        <v>100</v>
      </c>
      <c r="UZ3" s="17">
        <v>0</v>
      </c>
      <c r="VA3" s="17">
        <v>-100</v>
      </c>
      <c r="VB3" s="17">
        <v>-67</v>
      </c>
      <c r="VC3" s="17">
        <v>-33</v>
      </c>
      <c r="VD3" s="17">
        <v>0</v>
      </c>
      <c r="VE3" s="17">
        <v>33</v>
      </c>
      <c r="VF3" s="17">
        <v>67</v>
      </c>
      <c r="VG3" s="17">
        <v>100</v>
      </c>
      <c r="VH3" s="17">
        <v>0</v>
      </c>
      <c r="VI3" s="17">
        <v>-100</v>
      </c>
      <c r="VJ3" s="17">
        <v>-67</v>
      </c>
      <c r="VK3" s="17">
        <v>-33</v>
      </c>
      <c r="VL3" s="17">
        <v>0</v>
      </c>
      <c r="VM3" s="17">
        <v>33</v>
      </c>
      <c r="VN3" s="17">
        <v>67</v>
      </c>
      <c r="VO3" s="17">
        <v>100</v>
      </c>
      <c r="VP3" s="17">
        <v>0</v>
      </c>
      <c r="VQ3" s="17">
        <v>-100</v>
      </c>
      <c r="VR3" s="17">
        <v>-67</v>
      </c>
      <c r="VS3" s="17">
        <v>-33</v>
      </c>
      <c r="VT3" s="17">
        <v>0</v>
      </c>
      <c r="VU3" s="17">
        <v>33</v>
      </c>
      <c r="VV3" s="17">
        <v>67</v>
      </c>
      <c r="VW3" s="17">
        <v>100</v>
      </c>
      <c r="VX3" s="17" t="s">
        <v>234</v>
      </c>
      <c r="VY3" s="17">
        <v>-100</v>
      </c>
      <c r="VZ3" s="17">
        <v>-67</v>
      </c>
      <c r="WA3" s="17">
        <v>-33</v>
      </c>
      <c r="WB3" s="17">
        <v>0</v>
      </c>
      <c r="WC3" s="17">
        <v>33</v>
      </c>
      <c r="WD3" s="17">
        <v>67</v>
      </c>
      <c r="WE3" s="17">
        <v>100</v>
      </c>
      <c r="WF3" s="17" t="s">
        <v>234</v>
      </c>
      <c r="WG3" s="17" t="s">
        <v>16</v>
      </c>
      <c r="WH3" s="17" t="s">
        <v>17</v>
      </c>
      <c r="WI3" s="17" t="s">
        <v>18</v>
      </c>
      <c r="WJ3" s="17" t="s">
        <v>19</v>
      </c>
      <c r="WK3" s="17" t="s">
        <v>20</v>
      </c>
      <c r="WL3" s="17" t="s">
        <v>21</v>
      </c>
      <c r="WM3" s="17" t="s">
        <v>22</v>
      </c>
      <c r="WN3" s="17" t="s">
        <v>23</v>
      </c>
      <c r="WO3" s="17">
        <v>0</v>
      </c>
      <c r="WP3" s="17">
        <v>0</v>
      </c>
      <c r="WQ3" s="17">
        <v>0</v>
      </c>
      <c r="WR3" s="17">
        <v>0</v>
      </c>
      <c r="WS3" s="17">
        <v>0</v>
      </c>
      <c r="WT3" s="17">
        <v>0</v>
      </c>
      <c r="WU3" s="17">
        <v>0</v>
      </c>
      <c r="WV3" s="17">
        <v>0</v>
      </c>
      <c r="WW3" s="17">
        <v>0</v>
      </c>
      <c r="WX3" s="17">
        <v>0</v>
      </c>
      <c r="WY3" s="17">
        <v>0</v>
      </c>
      <c r="WZ3" s="17">
        <v>0</v>
      </c>
      <c r="XA3" s="17">
        <v>0</v>
      </c>
      <c r="XB3" s="17">
        <v>0</v>
      </c>
      <c r="XC3" s="17">
        <v>0</v>
      </c>
      <c r="XD3" s="17">
        <v>0</v>
      </c>
      <c r="XE3" s="17">
        <v>0</v>
      </c>
      <c r="XF3" s="17">
        <v>0</v>
      </c>
      <c r="XG3" s="17">
        <v>0</v>
      </c>
      <c r="XH3" s="17">
        <v>0</v>
      </c>
      <c r="XI3" s="17">
        <v>0</v>
      </c>
      <c r="XJ3" s="17">
        <v>0</v>
      </c>
      <c r="XK3" s="17">
        <v>0</v>
      </c>
      <c r="XL3" s="17">
        <v>0</v>
      </c>
      <c r="XM3" s="17">
        <v>0</v>
      </c>
      <c r="XN3" s="17">
        <v>0</v>
      </c>
      <c r="XO3" s="17">
        <v>0</v>
      </c>
      <c r="XP3" s="17">
        <v>0</v>
      </c>
      <c r="XQ3" s="17">
        <v>0</v>
      </c>
      <c r="XR3" s="17">
        <v>0</v>
      </c>
      <c r="XS3" s="17">
        <v>0</v>
      </c>
      <c r="XT3" s="17">
        <v>0</v>
      </c>
      <c r="XU3" s="17">
        <v>0</v>
      </c>
      <c r="XV3" s="17">
        <v>0</v>
      </c>
      <c r="XW3" s="17">
        <v>0</v>
      </c>
      <c r="XX3" s="17">
        <v>0</v>
      </c>
      <c r="XY3" s="17">
        <v>0</v>
      </c>
      <c r="XZ3" s="17">
        <v>0</v>
      </c>
      <c r="YA3" s="17">
        <v>0</v>
      </c>
      <c r="YB3" s="17">
        <v>0</v>
      </c>
      <c r="YC3" s="17">
        <v>0</v>
      </c>
      <c r="YD3" s="17">
        <v>0</v>
      </c>
      <c r="YE3" s="17">
        <v>0</v>
      </c>
      <c r="YF3" s="17">
        <v>0</v>
      </c>
      <c r="YG3" s="17">
        <v>0</v>
      </c>
      <c r="YH3" s="17">
        <v>0</v>
      </c>
      <c r="YI3" s="17">
        <v>0</v>
      </c>
      <c r="YJ3" s="17">
        <v>0</v>
      </c>
      <c r="YK3" s="17">
        <v>0</v>
      </c>
      <c r="YL3" s="17">
        <v>0</v>
      </c>
      <c r="YM3" s="17">
        <v>0</v>
      </c>
      <c r="YN3" s="17">
        <v>0</v>
      </c>
      <c r="YO3" s="17">
        <v>0</v>
      </c>
      <c r="YP3" s="17">
        <v>0</v>
      </c>
      <c r="YQ3" s="17">
        <v>0</v>
      </c>
      <c r="YR3" s="17">
        <v>0</v>
      </c>
      <c r="YS3" s="17">
        <v>-100</v>
      </c>
      <c r="YT3" s="17">
        <v>-67</v>
      </c>
      <c r="YU3" s="17">
        <v>-33</v>
      </c>
      <c r="YV3" s="17">
        <v>0</v>
      </c>
      <c r="YW3" s="17">
        <v>33</v>
      </c>
      <c r="YX3" s="17">
        <v>67</v>
      </c>
      <c r="YY3" s="17">
        <v>100</v>
      </c>
      <c r="YZ3" s="17">
        <v>0</v>
      </c>
      <c r="ZA3" s="17"/>
      <c r="ZB3" s="17"/>
      <c r="ZC3" s="17"/>
      <c r="ZD3" s="17"/>
      <c r="ZE3" s="17"/>
      <c r="ZF3" s="17"/>
      <c r="ZG3" s="17"/>
      <c r="ZH3" s="17"/>
      <c r="ZI3" s="17"/>
      <c r="ZJ3" s="17"/>
      <c r="ZK3" s="17"/>
      <c r="ZL3" s="17"/>
      <c r="ZM3" s="17"/>
      <c r="ZN3" s="17"/>
      <c r="ZO3" s="17"/>
      <c r="ZP3" s="17"/>
      <c r="ZQ3" s="17"/>
      <c r="ZR3" s="17"/>
      <c r="ZS3" s="17"/>
      <c r="ZT3" s="17"/>
      <c r="ZU3" s="17"/>
      <c r="ZV3" s="17"/>
      <c r="ZW3" s="17"/>
      <c r="ZX3" s="17"/>
      <c r="ZY3" s="17"/>
      <c r="ZZ3" s="17"/>
      <c r="AAA3" s="17"/>
      <c r="AAB3" s="17"/>
      <c r="AAC3" s="17"/>
      <c r="AAD3" s="17"/>
      <c r="AAE3" s="17"/>
      <c r="AAF3" s="17"/>
      <c r="AAG3" s="17"/>
      <c r="AAH3" s="17"/>
      <c r="AAI3" s="17"/>
      <c r="AAJ3" s="17"/>
      <c r="AAK3" s="17"/>
      <c r="AAL3" s="17"/>
      <c r="AAM3" s="17"/>
      <c r="AAN3" s="17"/>
      <c r="AAO3" s="17"/>
      <c r="AAP3" s="17"/>
      <c r="AAQ3" s="17"/>
      <c r="AAR3" s="17"/>
      <c r="AAS3" s="17"/>
      <c r="AAT3" s="17"/>
      <c r="AAU3" s="17"/>
      <c r="AAV3" s="17"/>
      <c r="AAW3" s="17"/>
      <c r="AAX3" s="17"/>
      <c r="AAY3" s="17"/>
      <c r="AAZ3" s="17"/>
      <c r="ABA3" s="17"/>
      <c r="ABB3" s="17"/>
      <c r="ABC3" s="17"/>
      <c r="ABD3" s="17"/>
      <c r="ABE3" s="17"/>
      <c r="ABF3" s="17"/>
      <c r="ABG3" s="17"/>
      <c r="ABH3" s="17"/>
      <c r="ABI3" s="17"/>
      <c r="ABJ3" s="17"/>
      <c r="ABK3" s="17"/>
      <c r="ABL3" s="17"/>
      <c r="ABM3" s="17"/>
      <c r="ABN3" s="17"/>
      <c r="ABO3" s="17"/>
      <c r="ABP3" s="17"/>
      <c r="ABQ3" s="17"/>
      <c r="ABR3" s="17"/>
      <c r="ABS3" s="17"/>
      <c r="ABT3" s="17"/>
      <c r="ABU3" s="17"/>
      <c r="ABV3" s="17"/>
      <c r="ABW3" s="17"/>
      <c r="ABX3" s="17"/>
      <c r="ABY3" s="17"/>
      <c r="ABZ3" s="17"/>
      <c r="ACA3" s="17"/>
      <c r="ACB3" s="17"/>
      <c r="ACC3" s="17"/>
      <c r="ACD3" s="17"/>
      <c r="ACE3" s="17"/>
      <c r="ACF3" s="17"/>
      <c r="ACG3" s="17"/>
      <c r="ACH3" s="17"/>
      <c r="ACI3" s="17"/>
      <c r="ACJ3" s="17"/>
      <c r="ACK3" s="17"/>
      <c r="ACL3" s="17"/>
      <c r="ACM3" s="17"/>
      <c r="ACN3" s="17"/>
      <c r="ACO3" s="17"/>
      <c r="ACP3" s="17"/>
      <c r="ACQ3" s="17"/>
      <c r="ACR3" s="17"/>
      <c r="ACS3" s="17"/>
      <c r="ACT3" s="17"/>
      <c r="ACU3" s="17"/>
      <c r="ACV3" s="17"/>
      <c r="ACW3" s="17"/>
      <c r="ACX3" s="17"/>
      <c r="ACY3" s="17"/>
      <c r="ACZ3" s="17"/>
      <c r="ADA3" s="17"/>
      <c r="ADB3" s="17"/>
      <c r="ADC3" s="17"/>
      <c r="ADD3" s="17"/>
      <c r="ADE3" s="17"/>
      <c r="ADF3" s="17"/>
      <c r="ADG3" s="17"/>
      <c r="ADH3" s="17"/>
      <c r="ADI3" s="17"/>
      <c r="ADJ3" s="17"/>
      <c r="ADK3" s="17"/>
      <c r="ADL3" s="17"/>
      <c r="ADM3" s="17"/>
      <c r="ADN3" s="17"/>
      <c r="ADO3" s="17"/>
      <c r="ADP3" s="17"/>
      <c r="ADQ3" s="17"/>
      <c r="ADR3" s="17"/>
      <c r="ADS3" s="17"/>
      <c r="ADT3" s="17"/>
      <c r="ADU3" s="17"/>
      <c r="ADV3" s="17"/>
      <c r="ADW3" s="17"/>
      <c r="ADX3" s="17"/>
      <c r="ADY3" s="17"/>
      <c r="ADZ3" s="17"/>
      <c r="AEA3" s="17"/>
      <c r="AEB3" s="17"/>
      <c r="AEC3" s="17"/>
      <c r="AED3" s="17"/>
      <c r="AEE3" s="17"/>
      <c r="AEF3" s="17"/>
      <c r="AEG3" s="17"/>
      <c r="AEH3" s="17"/>
      <c r="AEI3" s="17"/>
      <c r="AEJ3" s="17"/>
      <c r="AEK3" s="17"/>
      <c r="AEL3" s="17"/>
      <c r="AEM3" s="17"/>
      <c r="AEN3" s="17"/>
      <c r="AEO3" s="17"/>
      <c r="AEP3" s="17"/>
      <c r="AEQ3" s="17"/>
      <c r="AER3" s="17"/>
      <c r="AES3" s="17"/>
      <c r="AET3" s="17"/>
      <c r="AEU3" s="17"/>
      <c r="AEV3" s="17"/>
      <c r="AEW3" s="17"/>
      <c r="AEX3" s="17"/>
      <c r="AEY3" s="17"/>
      <c r="AEZ3" s="17"/>
      <c r="AFA3" s="17"/>
      <c r="AFB3" s="17"/>
      <c r="AFC3" s="17"/>
      <c r="AFD3" s="17"/>
      <c r="AFE3" s="17"/>
      <c r="AFF3" s="17"/>
      <c r="AFG3" s="17"/>
      <c r="AFH3" s="17"/>
      <c r="AFI3" s="17"/>
      <c r="AFJ3" s="17"/>
      <c r="AFK3" s="17"/>
      <c r="AFL3" s="17"/>
      <c r="AFM3" s="17"/>
      <c r="AFN3" s="17"/>
      <c r="AFO3" s="17"/>
      <c r="AFP3" s="17"/>
      <c r="AFQ3" s="17"/>
      <c r="AFR3" s="17"/>
      <c r="AFS3" s="17"/>
      <c r="AFT3" s="17"/>
      <c r="AFU3" s="17"/>
      <c r="AFV3" s="17"/>
      <c r="AFW3" s="17"/>
      <c r="AFX3" s="17"/>
      <c r="AFY3" s="17"/>
      <c r="AFZ3" s="17"/>
      <c r="AGA3" s="17"/>
      <c r="AGB3" s="17"/>
      <c r="AGC3" s="17"/>
      <c r="AGD3" s="17"/>
      <c r="AGE3" s="17"/>
      <c r="AGF3" s="17"/>
      <c r="AGG3" s="17"/>
      <c r="AGH3" s="17"/>
      <c r="AGI3" s="17"/>
      <c r="AGJ3" s="17"/>
      <c r="AGK3" s="17"/>
      <c r="AGL3" s="17"/>
      <c r="AGM3" s="17"/>
      <c r="AGN3" s="17"/>
      <c r="AGO3" s="17"/>
      <c r="AGP3" s="17"/>
      <c r="AGQ3" s="17"/>
      <c r="AGR3" s="17"/>
      <c r="AGS3" s="17"/>
      <c r="AGT3" s="17"/>
      <c r="AGU3" s="17"/>
      <c r="AGV3" s="17"/>
      <c r="AGW3" s="17"/>
      <c r="AGX3" s="17"/>
      <c r="AGY3" s="17"/>
      <c r="AGZ3" s="17"/>
      <c r="AHA3" s="17"/>
      <c r="AHB3" s="17"/>
      <c r="AHC3" s="17"/>
      <c r="AHD3" s="17"/>
      <c r="AHE3" s="17"/>
      <c r="AHF3" s="17"/>
      <c r="AHG3" s="17"/>
      <c r="AHH3" s="17"/>
      <c r="AHI3" s="17"/>
      <c r="AHJ3" s="17"/>
      <c r="AHK3" s="17"/>
      <c r="AHL3" s="17"/>
      <c r="AHM3" s="17"/>
      <c r="AHN3" s="17"/>
      <c r="AHO3" s="17"/>
      <c r="AHP3" s="17"/>
      <c r="AHQ3" s="17"/>
      <c r="AHR3" s="17"/>
      <c r="AHS3" s="17"/>
      <c r="AHT3" s="17"/>
      <c r="AHU3" s="17"/>
      <c r="AHV3" s="17"/>
      <c r="AHW3" s="17"/>
      <c r="AHX3" s="17"/>
      <c r="AHY3" s="17"/>
      <c r="AHZ3" s="17"/>
      <c r="AIA3" s="17"/>
      <c r="AIB3" s="17"/>
      <c r="AIC3" s="17"/>
      <c r="AID3" s="17"/>
      <c r="AIE3" s="17"/>
      <c r="AIF3" s="17"/>
      <c r="AIG3" s="17"/>
      <c r="AIH3" s="17"/>
      <c r="AII3" s="17"/>
      <c r="AIJ3" s="17"/>
      <c r="AIK3" s="17"/>
      <c r="AIL3" s="17"/>
      <c r="AIM3" s="17"/>
      <c r="AIN3" s="17"/>
      <c r="AIO3" s="17"/>
      <c r="AIP3" s="17"/>
      <c r="AIQ3" s="17"/>
      <c r="AIR3" s="17"/>
      <c r="AIS3" s="17"/>
      <c r="AIT3" s="17"/>
      <c r="AIU3" s="17"/>
      <c r="AIV3" s="17"/>
      <c r="AIW3" s="17"/>
      <c r="AIX3" s="17"/>
      <c r="AIY3" s="17"/>
      <c r="AIZ3" s="17"/>
      <c r="AJA3" s="17"/>
      <c r="AJB3" s="17"/>
      <c r="AJC3" s="17"/>
      <c r="AJD3" s="17"/>
      <c r="AJE3" s="17"/>
      <c r="AJF3" s="17"/>
      <c r="AJG3" s="17"/>
      <c r="AJH3" s="17"/>
      <c r="AJI3" s="17"/>
      <c r="AJJ3" s="17"/>
      <c r="AJK3" s="17"/>
      <c r="AJL3" s="17"/>
      <c r="AJM3" s="17"/>
      <c r="AJN3" s="17"/>
      <c r="AJO3" s="17"/>
      <c r="AJP3" s="17"/>
      <c r="AJQ3" s="17"/>
      <c r="AJR3" s="17"/>
      <c r="AJS3" s="17"/>
      <c r="AJT3" s="17"/>
      <c r="AJU3" s="17"/>
      <c r="AJV3" s="17"/>
      <c r="AJW3" s="17"/>
      <c r="AJX3" s="17"/>
      <c r="AJY3" s="17"/>
      <c r="AJZ3" s="17"/>
      <c r="AKA3" s="17"/>
      <c r="AKB3" s="17"/>
      <c r="AKC3" s="17"/>
      <c r="AKD3" s="17"/>
      <c r="AKE3" s="17"/>
      <c r="AKF3" s="17"/>
      <c r="AKG3" s="17"/>
      <c r="AKH3" s="17"/>
      <c r="AKI3" s="17"/>
      <c r="AKJ3" s="17"/>
      <c r="AKK3" s="17"/>
      <c r="AKL3" s="17"/>
      <c r="AKM3" s="17"/>
      <c r="AKN3" s="17"/>
      <c r="AKO3" s="17"/>
      <c r="AKP3" s="17"/>
      <c r="AKQ3" s="17"/>
      <c r="AKR3" s="17"/>
      <c r="AKS3" s="17"/>
      <c r="AKT3" s="17"/>
      <c r="AKU3" s="17"/>
      <c r="AKV3" s="17"/>
      <c r="AKW3" s="17"/>
      <c r="AKX3" s="17"/>
      <c r="AKY3" s="17"/>
      <c r="AKZ3" s="17"/>
      <c r="ALA3" s="17"/>
      <c r="ALB3" s="17"/>
      <c r="ALC3" s="17"/>
      <c r="ALD3" s="17"/>
      <c r="ALE3" s="17"/>
      <c r="ALF3" s="17"/>
      <c r="ALG3" s="17"/>
      <c r="ALH3" s="17"/>
      <c r="ALI3" s="17"/>
      <c r="ALJ3" s="17"/>
      <c r="ALK3" s="17"/>
      <c r="ALL3" s="17"/>
      <c r="ALM3" s="17"/>
      <c r="ALN3" s="17"/>
      <c r="ALO3" s="17"/>
      <c r="ALP3" s="17"/>
      <c r="ALQ3" s="17"/>
      <c r="ALR3" s="17"/>
      <c r="ALS3" s="17"/>
      <c r="ALT3" s="17"/>
      <c r="ALU3" s="17"/>
      <c r="ALV3" s="17"/>
      <c r="ALW3" s="17"/>
      <c r="ALX3" s="17"/>
      <c r="ALY3" s="17"/>
      <c r="ALZ3" s="17"/>
      <c r="AMA3" s="17"/>
      <c r="AMB3" s="17"/>
      <c r="AMC3" s="17"/>
      <c r="AMD3" s="17"/>
      <c r="AME3" s="17"/>
      <c r="AMF3" s="17"/>
      <c r="AMG3" s="17"/>
      <c r="AMH3" s="17"/>
      <c r="AMI3" s="17"/>
      <c r="AMJ3" s="17"/>
      <c r="AMK3" s="17"/>
      <c r="AML3" s="17"/>
      <c r="AMM3" s="17"/>
      <c r="AMN3" s="17"/>
      <c r="AMO3" s="17"/>
      <c r="AMP3" s="17"/>
      <c r="AMQ3" s="17"/>
      <c r="AMR3" s="17"/>
      <c r="AMS3" s="17"/>
      <c r="AMT3" s="17"/>
      <c r="AMU3" s="17"/>
      <c r="AMV3" s="17"/>
      <c r="AMW3" s="17"/>
      <c r="AMX3" s="17"/>
      <c r="AMY3" s="17"/>
      <c r="AMZ3" s="17"/>
      <c r="ANA3" s="17"/>
      <c r="ANB3" s="17"/>
      <c r="ANC3" s="17"/>
      <c r="AND3" s="17"/>
      <c r="ANE3" s="17"/>
      <c r="ANF3" s="17"/>
      <c r="ANG3" s="17"/>
      <c r="ANH3" s="17"/>
      <c r="ANI3" s="17"/>
      <c r="ANJ3" s="17"/>
      <c r="ANK3" s="17"/>
      <c r="ANL3" s="17"/>
      <c r="ANM3" s="17"/>
      <c r="ANN3" s="17"/>
      <c r="ANO3" s="17"/>
      <c r="ANP3" s="17"/>
      <c r="ANQ3" s="17"/>
      <c r="ANR3" s="17"/>
      <c r="ANS3" s="17"/>
      <c r="ANT3" s="17"/>
      <c r="ANU3" s="17"/>
      <c r="ANV3" s="17"/>
      <c r="ANW3" s="17"/>
      <c r="ANX3" s="17"/>
      <c r="ANY3" s="17"/>
      <c r="ANZ3" s="17"/>
      <c r="AOA3" s="17"/>
      <c r="AOB3" s="17"/>
      <c r="AOC3" s="17"/>
      <c r="AOD3" s="17"/>
      <c r="AOE3" s="17"/>
      <c r="AOF3" s="17"/>
      <c r="AOG3" s="17"/>
      <c r="AOH3" s="17"/>
      <c r="AOI3" s="17"/>
      <c r="AOJ3" s="17"/>
      <c r="AOK3" s="17"/>
      <c r="AOL3" s="17"/>
      <c r="AOM3" s="17"/>
      <c r="AON3" s="17"/>
      <c r="AOO3" s="17"/>
      <c r="AOP3" s="17"/>
      <c r="AOQ3" s="17"/>
      <c r="AOR3" s="17"/>
      <c r="AOS3" s="17"/>
      <c r="AOT3" s="17"/>
      <c r="AOU3" s="17"/>
      <c r="AOV3" s="17"/>
      <c r="AOW3" s="17"/>
      <c r="AOX3" s="17"/>
      <c r="AOY3" s="17"/>
      <c r="AOZ3" s="17"/>
      <c r="APA3" s="17"/>
      <c r="APB3" s="17"/>
      <c r="APC3" s="17"/>
      <c r="APD3" s="17"/>
      <c r="APE3" s="17"/>
      <c r="APF3" s="17"/>
      <c r="APG3" s="17"/>
      <c r="APH3" s="17"/>
      <c r="API3" s="17"/>
      <c r="APJ3" s="17"/>
      <c r="APK3" s="17"/>
      <c r="APL3" s="17"/>
      <c r="APM3" s="17"/>
      <c r="APN3" s="17"/>
      <c r="APO3" s="17"/>
      <c r="APP3" s="17"/>
      <c r="APQ3" s="17"/>
      <c r="APR3" s="17"/>
      <c r="APS3" s="17"/>
      <c r="APT3" s="17"/>
      <c r="APU3" s="17"/>
      <c r="APV3" s="17"/>
      <c r="APW3" s="17"/>
      <c r="APX3" s="17"/>
      <c r="APY3" s="17"/>
      <c r="APZ3" s="17"/>
      <c r="AQA3" s="17"/>
      <c r="AQB3" s="17"/>
      <c r="AQC3" s="17"/>
      <c r="AQD3" s="17"/>
      <c r="AQE3" s="17"/>
      <c r="AQF3" s="17"/>
      <c r="AQG3" s="17"/>
      <c r="AQH3" s="17"/>
      <c r="AQI3" s="17"/>
      <c r="AQJ3" s="17"/>
      <c r="AQK3" s="17"/>
      <c r="AQL3" s="17"/>
      <c r="AQM3" s="17"/>
      <c r="AQN3" s="17"/>
      <c r="AQO3" s="17"/>
      <c r="AQP3" s="17"/>
      <c r="AQQ3" s="17"/>
      <c r="AQR3" s="17"/>
      <c r="AQS3" s="17"/>
      <c r="AQT3" s="17"/>
      <c r="AQU3" s="17"/>
      <c r="AQV3" s="17"/>
      <c r="AQW3" s="17"/>
      <c r="AQX3" s="17"/>
      <c r="AQY3" s="17"/>
      <c r="AQZ3" s="17"/>
      <c r="ARA3" s="17"/>
      <c r="ARB3" s="17"/>
      <c r="ARC3" s="17"/>
      <c r="ARD3" s="17"/>
      <c r="ARE3" s="17"/>
      <c r="ARF3" s="17"/>
      <c r="ARG3" s="17"/>
      <c r="ARH3" s="17"/>
      <c r="ARI3" s="17"/>
      <c r="ARJ3" s="17"/>
      <c r="ARK3" s="17"/>
      <c r="ARL3" s="17"/>
      <c r="ARM3" s="17"/>
      <c r="ARN3" s="17"/>
      <c r="ARO3" s="17"/>
      <c r="ARP3" s="17"/>
      <c r="ARQ3" s="17"/>
      <c r="ARR3" s="17"/>
      <c r="ARS3" s="17"/>
      <c r="ART3" s="17"/>
      <c r="ARU3" s="17"/>
      <c r="ARV3" s="17"/>
      <c r="ARW3" s="17"/>
      <c r="ARX3" s="17"/>
      <c r="ARY3" s="17"/>
      <c r="ARZ3" s="17"/>
      <c r="ASA3" s="17"/>
      <c r="ASB3" s="17"/>
      <c r="ASC3" s="17"/>
      <c r="ASD3" s="17"/>
      <c r="ASE3" s="17"/>
      <c r="ASF3" s="17"/>
      <c r="ASG3" s="17"/>
      <c r="ASH3" s="17"/>
      <c r="ASI3" s="17"/>
      <c r="ASJ3" s="17"/>
      <c r="ASK3" s="17"/>
      <c r="ASL3" s="17"/>
      <c r="ASM3" s="17"/>
      <c r="ASN3" s="17"/>
      <c r="ASO3" s="17"/>
      <c r="ASP3" s="17"/>
      <c r="ASQ3" s="17"/>
      <c r="ASR3" s="17"/>
      <c r="ASS3" s="17"/>
      <c r="AST3" s="17"/>
      <c r="ASU3" s="17"/>
      <c r="ASV3" s="17"/>
      <c r="ASW3" s="17"/>
      <c r="ASX3" s="17"/>
      <c r="ASY3" s="17"/>
      <c r="ASZ3" s="17"/>
      <c r="ATA3" s="17"/>
      <c r="ATB3" s="17"/>
      <c r="ATC3" s="17"/>
      <c r="ATD3" s="17"/>
      <c r="ATE3" s="17"/>
      <c r="ATF3" s="17"/>
      <c r="ATG3" s="17"/>
      <c r="ATH3" s="17"/>
      <c r="ATI3" s="17"/>
      <c r="ATJ3" s="17"/>
      <c r="ATK3" s="17"/>
      <c r="ATL3" s="17"/>
      <c r="ATM3" s="17"/>
      <c r="ATN3" s="17"/>
      <c r="ATO3" s="17"/>
      <c r="ATP3" s="17"/>
      <c r="ATQ3" s="17"/>
      <c r="ATR3" s="17"/>
      <c r="ATS3" s="17"/>
      <c r="ATT3" s="17"/>
      <c r="ATU3" s="17"/>
      <c r="ATV3" s="17"/>
      <c r="ATW3" s="17"/>
      <c r="ATX3" s="17"/>
      <c r="ATY3" s="17"/>
      <c r="ATZ3" s="17"/>
      <c r="AUA3" s="17"/>
      <c r="AUB3" s="17"/>
      <c r="AUC3" s="17"/>
      <c r="AUD3" s="17"/>
      <c r="AUE3" s="17"/>
      <c r="AUF3" s="17"/>
      <c r="AUG3" s="17"/>
      <c r="AUH3" s="17"/>
      <c r="AUI3" s="17"/>
      <c r="AUJ3" s="17"/>
      <c r="AUK3" s="17"/>
      <c r="AUL3" s="17"/>
      <c r="AUM3" s="17"/>
      <c r="AUN3" s="17"/>
      <c r="AUO3" s="17"/>
      <c r="AUP3" s="17"/>
      <c r="AUQ3" s="17"/>
      <c r="AUR3" s="17"/>
      <c r="AUS3" s="17"/>
      <c r="AUT3" s="17"/>
      <c r="AUU3" s="17"/>
      <c r="AUV3" s="17"/>
      <c r="AUW3" s="17"/>
      <c r="AUX3" s="17"/>
      <c r="AUY3" s="17"/>
      <c r="AUZ3" s="17"/>
      <c r="AVA3" s="17"/>
      <c r="AVB3" s="17"/>
      <c r="AVC3" s="17"/>
      <c r="AVD3" s="17"/>
      <c r="AVE3" s="17"/>
      <c r="AVF3" s="17"/>
      <c r="AVG3" s="17"/>
      <c r="AVH3" s="17"/>
      <c r="AVI3" s="17"/>
      <c r="AVJ3" s="17"/>
      <c r="AVK3" s="17"/>
      <c r="AVL3" s="17"/>
      <c r="AVM3" s="17"/>
      <c r="AVN3" s="17"/>
      <c r="AVO3" s="17"/>
      <c r="AVP3" s="17"/>
      <c r="AVQ3" s="17"/>
      <c r="AVR3" s="17"/>
      <c r="AVS3" s="17"/>
      <c r="AVT3" s="17"/>
      <c r="AVU3" s="17"/>
      <c r="AVV3" s="17"/>
      <c r="AVW3" s="17"/>
      <c r="AVX3" s="17"/>
      <c r="AVY3" s="17"/>
      <c r="AVZ3" s="17"/>
      <c r="AWA3" s="17"/>
      <c r="AWB3" s="17"/>
      <c r="AWC3" s="17"/>
      <c r="AWD3" s="17"/>
      <c r="AWE3" s="17"/>
      <c r="AWF3" s="17"/>
      <c r="AWG3" s="17"/>
      <c r="AWH3" s="17"/>
      <c r="AWI3" s="17"/>
      <c r="AWJ3" s="17"/>
      <c r="AWK3" s="17"/>
      <c r="AWL3" s="17"/>
      <c r="AWM3" s="17"/>
      <c r="AWN3" s="17"/>
      <c r="AWO3" s="17"/>
      <c r="AWP3" s="17"/>
      <c r="AWQ3" s="17"/>
      <c r="AWR3" s="17"/>
      <c r="AWS3" s="17"/>
      <c r="AWT3" s="17"/>
      <c r="AWU3" s="17"/>
      <c r="AWV3" s="17"/>
      <c r="AWW3" s="17"/>
      <c r="AWX3" s="17"/>
      <c r="AWY3" s="17"/>
      <c r="AWZ3" s="17"/>
      <c r="AXA3" s="17"/>
      <c r="AXB3" s="17"/>
      <c r="AXC3" s="17"/>
      <c r="AXD3" s="17"/>
      <c r="AXE3" s="17"/>
      <c r="AXF3" s="17"/>
      <c r="AXG3" s="17"/>
      <c r="AXH3" s="17"/>
      <c r="AXI3" s="17"/>
      <c r="AXJ3" s="17"/>
      <c r="AXK3" s="17"/>
      <c r="AXL3" s="17"/>
      <c r="AXM3" s="17"/>
      <c r="AXN3" s="17"/>
      <c r="AXO3" s="17"/>
      <c r="AXP3" s="17"/>
      <c r="AXQ3" s="17"/>
      <c r="AXR3" s="17"/>
      <c r="AXS3" s="17"/>
      <c r="AXT3" s="17"/>
      <c r="AXU3" s="17"/>
      <c r="AXV3" s="17"/>
      <c r="AXW3" s="17"/>
      <c r="AXX3" s="17"/>
      <c r="AXY3" s="17"/>
      <c r="AXZ3" s="17"/>
      <c r="AYA3" s="17"/>
      <c r="AYB3" s="17"/>
      <c r="AYC3" s="17"/>
      <c r="AYD3" s="17"/>
      <c r="AYE3" s="17"/>
      <c r="AYF3" s="17"/>
      <c r="AYG3" s="17"/>
      <c r="AYH3" s="17"/>
      <c r="AYI3" s="17"/>
      <c r="AYJ3" s="17"/>
      <c r="AYK3" s="17"/>
      <c r="AYL3" s="17"/>
      <c r="AYM3" s="17"/>
      <c r="AYN3" s="17"/>
      <c r="AYO3" s="17"/>
      <c r="AYP3" s="17"/>
      <c r="AYQ3" s="17"/>
      <c r="AYR3" s="17"/>
      <c r="AYS3" s="17"/>
      <c r="AYT3" s="17"/>
      <c r="AYU3" s="17"/>
      <c r="AYV3" s="17"/>
      <c r="AYW3" s="17"/>
      <c r="AYX3" s="17"/>
      <c r="AYY3" s="17"/>
      <c r="AYZ3" s="17"/>
      <c r="AZA3" s="17"/>
      <c r="AZB3" s="17"/>
      <c r="AZC3" s="17"/>
      <c r="AZD3" s="17"/>
      <c r="AZE3" s="17"/>
      <c r="AZF3" s="17"/>
      <c r="AZG3" s="17"/>
      <c r="AZH3" s="17"/>
      <c r="AZI3" s="17"/>
      <c r="AZJ3" s="17"/>
      <c r="AZK3" s="17"/>
      <c r="AZL3" s="17"/>
      <c r="AZM3" s="17"/>
      <c r="AZN3" s="17"/>
      <c r="AZO3" s="17"/>
      <c r="AZP3" s="17"/>
      <c r="AZQ3" s="17"/>
      <c r="AZR3" s="17"/>
      <c r="AZS3" s="17"/>
      <c r="AZT3" s="17"/>
      <c r="AZU3" s="17"/>
      <c r="AZV3" s="17"/>
      <c r="AZW3" s="17"/>
      <c r="AZX3" s="17"/>
      <c r="AZY3" s="17"/>
      <c r="AZZ3" s="17"/>
      <c r="BAA3" s="17"/>
      <c r="BAB3" s="17"/>
      <c r="BAC3" s="17"/>
      <c r="BAD3" s="17"/>
      <c r="BAE3" s="17"/>
      <c r="BAF3" s="17"/>
      <c r="BAG3" s="17"/>
      <c r="BAH3" s="17"/>
      <c r="BAI3" s="17"/>
      <c r="BAJ3" s="17"/>
      <c r="BAK3" s="17"/>
      <c r="BAL3" s="17"/>
      <c r="BAM3" s="17"/>
      <c r="BAN3" s="17"/>
      <c r="BAO3" s="17"/>
      <c r="BAP3" s="17"/>
      <c r="BAQ3" s="17"/>
      <c r="BAR3" s="17"/>
      <c r="BAS3" s="17"/>
      <c r="BAT3" s="17"/>
      <c r="BAU3" s="17"/>
      <c r="BAV3" s="17"/>
      <c r="BAW3" s="17"/>
      <c r="BAX3" s="17"/>
      <c r="BAY3" s="17"/>
      <c r="BAZ3" s="17"/>
      <c r="BBA3" s="17"/>
      <c r="BBB3" s="17"/>
      <c r="BBC3" s="17"/>
      <c r="BBD3" s="17"/>
      <c r="BBE3" s="17"/>
      <c r="BBF3" s="17"/>
      <c r="BBG3" s="17"/>
      <c r="BBH3" s="17"/>
      <c r="BBI3" s="17"/>
      <c r="BBJ3" s="17"/>
      <c r="BBK3" s="17"/>
      <c r="BBL3" s="17"/>
      <c r="BBM3" s="17"/>
      <c r="BBN3" s="17"/>
      <c r="BBO3" s="17"/>
      <c r="BBP3" s="17"/>
      <c r="BBQ3" s="17"/>
      <c r="BBR3" s="17"/>
      <c r="BBS3" s="17"/>
      <c r="BBT3" s="17"/>
      <c r="BBU3" s="17"/>
      <c r="BBV3" s="17"/>
      <c r="BBW3" s="17"/>
      <c r="BBX3" s="17"/>
      <c r="BBY3" s="17"/>
      <c r="BBZ3" s="17"/>
      <c r="BCA3" s="17"/>
      <c r="BCB3" s="17"/>
      <c r="BCC3" s="17"/>
      <c r="BCD3" s="17"/>
      <c r="BCE3" s="17"/>
      <c r="BCF3" s="17"/>
      <c r="BCG3" s="17"/>
      <c r="BCH3" s="17"/>
      <c r="BCI3" s="17"/>
      <c r="BCJ3" s="17"/>
      <c r="BCK3" s="17"/>
      <c r="BCL3" s="17"/>
      <c r="BCM3" s="17"/>
      <c r="BCN3" s="17"/>
      <c r="BCO3" s="17"/>
      <c r="BCP3" s="17"/>
      <c r="BCQ3" s="17"/>
      <c r="BCR3" s="17"/>
      <c r="BCS3" s="17"/>
      <c r="BCT3" s="17"/>
      <c r="BCU3" s="17"/>
      <c r="BCV3" s="17"/>
      <c r="BCW3" s="17"/>
      <c r="BCX3" s="17"/>
      <c r="BCY3" s="17"/>
      <c r="BCZ3" s="17"/>
      <c r="BDA3" s="17"/>
      <c r="BDB3" s="17"/>
      <c r="BDC3" s="17"/>
      <c r="BDD3" s="17"/>
      <c r="BDE3" s="17"/>
      <c r="BDF3" s="17"/>
      <c r="BDG3" s="17"/>
      <c r="BDH3" s="17"/>
      <c r="BDI3" s="17"/>
      <c r="BDJ3" s="17"/>
      <c r="BDK3" s="17"/>
      <c r="BDL3" s="17"/>
      <c r="BDM3" s="17"/>
      <c r="BDN3" s="17"/>
      <c r="BDO3" s="17"/>
      <c r="BDP3" s="17"/>
      <c r="BDQ3" s="17"/>
      <c r="BDR3" s="17"/>
      <c r="BDS3" s="17"/>
      <c r="BDT3" s="17"/>
      <c r="BDU3" s="17"/>
      <c r="BDV3" s="17"/>
      <c r="BDW3" s="17"/>
      <c r="BDX3" s="17"/>
      <c r="BDY3" s="17"/>
      <c r="BDZ3" s="17"/>
      <c r="BEA3" s="17"/>
      <c r="BEB3" s="17"/>
      <c r="BEC3" s="17"/>
      <c r="BED3" s="17"/>
      <c r="BEE3" s="17"/>
      <c r="BEF3" s="17"/>
      <c r="BEG3" s="17"/>
      <c r="BEH3" s="17"/>
      <c r="BEI3" s="17"/>
      <c r="BEJ3" s="17"/>
      <c r="BEK3" s="17"/>
      <c r="BEL3" s="17"/>
      <c r="BEM3" s="17"/>
      <c r="BEN3" s="17"/>
      <c r="BEO3" s="17"/>
      <c r="BEP3" s="17"/>
      <c r="BEQ3" s="17"/>
      <c r="BER3" s="17"/>
      <c r="BES3" s="17"/>
      <c r="BET3" s="17"/>
      <c r="BEU3" s="17"/>
      <c r="BEV3" s="17"/>
      <c r="BEW3" s="17"/>
      <c r="BEX3" s="17"/>
      <c r="BEY3" s="17"/>
      <c r="BEZ3" s="17"/>
      <c r="BFA3" s="17"/>
      <c r="BFB3" s="17"/>
      <c r="BFC3" s="17"/>
      <c r="BFD3" s="17"/>
      <c r="BFE3" s="17"/>
      <c r="BFF3" s="17"/>
      <c r="BFG3" s="17"/>
      <c r="BFH3" s="17"/>
      <c r="BFI3" s="17"/>
      <c r="BFJ3" s="17"/>
      <c r="BFK3" s="17"/>
      <c r="BFL3" s="17"/>
      <c r="BFM3" s="17"/>
      <c r="BFN3" s="17"/>
      <c r="BFO3" s="17"/>
      <c r="BFP3" s="17"/>
      <c r="BFQ3" s="17"/>
      <c r="BFR3" s="17"/>
      <c r="BFS3" s="17"/>
      <c r="BFT3" s="17"/>
      <c r="BFU3" s="17"/>
      <c r="BFV3" s="17"/>
      <c r="BFW3" s="17"/>
      <c r="BFX3" s="17"/>
      <c r="BFY3" s="17"/>
      <c r="BFZ3" s="17"/>
      <c r="BGA3" s="17"/>
      <c r="BGB3" s="17"/>
      <c r="BGC3" s="17"/>
      <c r="BGD3" s="17"/>
      <c r="BGE3" s="17"/>
      <c r="BGF3" s="17"/>
      <c r="BGG3" s="17"/>
      <c r="BGH3" s="17"/>
      <c r="BGI3" s="17"/>
      <c r="BGJ3" s="17"/>
      <c r="BGK3" s="17"/>
      <c r="BGL3" s="17"/>
      <c r="BGM3" s="17"/>
      <c r="BGN3" s="17"/>
      <c r="BGO3" s="17"/>
      <c r="BGP3" s="17"/>
      <c r="BGQ3" s="17"/>
      <c r="BGR3" s="17"/>
      <c r="BGS3" s="17"/>
      <c r="BGT3" s="17"/>
      <c r="BGU3" s="17"/>
      <c r="BGV3" s="17"/>
      <c r="BGW3" s="17"/>
      <c r="BGX3" s="17"/>
      <c r="BGY3" s="17"/>
      <c r="BGZ3" s="17"/>
      <c r="BHA3" s="17"/>
      <c r="BHB3" s="17"/>
      <c r="BHC3" s="17"/>
      <c r="BHD3" s="17"/>
      <c r="BHE3" s="17"/>
      <c r="BHF3" s="17"/>
      <c r="BHG3" s="17"/>
      <c r="BHH3" s="17"/>
      <c r="BHI3" s="17"/>
      <c r="BHJ3" s="17"/>
      <c r="BHK3" s="17"/>
      <c r="BHL3" s="17"/>
      <c r="BHM3" s="17"/>
      <c r="BHN3" s="17"/>
      <c r="BHO3" s="17"/>
      <c r="BHP3" s="17"/>
      <c r="BHQ3" s="17"/>
      <c r="BHR3" s="17"/>
      <c r="BHS3" s="17"/>
      <c r="BHT3" s="17"/>
      <c r="BHU3" s="17"/>
      <c r="BHV3" s="17"/>
      <c r="BHW3" s="17"/>
      <c r="BHX3" s="17"/>
      <c r="BHY3" s="17"/>
      <c r="BHZ3" s="17"/>
      <c r="BIA3" s="17"/>
      <c r="BIB3" s="17"/>
      <c r="BIC3" s="17"/>
      <c r="BID3" s="17"/>
      <c r="BIE3" s="17"/>
      <c r="BIF3" s="17"/>
      <c r="BIG3" s="17"/>
      <c r="BIH3" s="17"/>
      <c r="BII3" s="17"/>
      <c r="BIJ3" s="17"/>
      <c r="BIK3" s="17"/>
      <c r="BIL3" s="17"/>
      <c r="BIM3" s="17"/>
      <c r="BIN3" s="17"/>
      <c r="BIO3" s="17"/>
      <c r="BIP3" s="17"/>
      <c r="BIQ3" s="17"/>
      <c r="BIR3" s="17"/>
      <c r="BIS3" s="17"/>
      <c r="BIT3" s="17"/>
      <c r="BIU3" s="17"/>
      <c r="BIV3" s="17"/>
      <c r="BIW3" s="17"/>
      <c r="BIX3" s="17"/>
      <c r="BIY3" s="17"/>
      <c r="BIZ3" s="17"/>
      <c r="BJA3" s="17"/>
      <c r="BJB3" s="17"/>
      <c r="BJC3" s="17"/>
      <c r="BJD3" s="17"/>
      <c r="BJE3" s="17"/>
      <c r="BJF3" s="17"/>
      <c r="BJG3" s="17"/>
      <c r="BJH3" s="17"/>
      <c r="BJI3" s="17"/>
      <c r="BJJ3" s="17"/>
      <c r="BJK3" s="17"/>
      <c r="BJL3" s="17"/>
      <c r="BJM3" s="17"/>
      <c r="BJN3" s="17"/>
      <c r="BJO3" s="17"/>
      <c r="BJP3" s="17"/>
      <c r="BJQ3" s="17"/>
      <c r="BJR3" s="17"/>
      <c r="BJS3" s="17"/>
      <c r="BJT3" s="17"/>
      <c r="BJU3" s="17"/>
      <c r="BJV3" s="17"/>
      <c r="BJW3" s="17"/>
      <c r="BJX3" s="17"/>
      <c r="BJY3" s="17"/>
      <c r="BJZ3" s="17"/>
      <c r="BKA3" s="17"/>
      <c r="BKB3" s="17"/>
      <c r="BKC3" s="17"/>
      <c r="BKD3" s="17"/>
      <c r="BKE3" s="17"/>
      <c r="BKF3" s="17"/>
      <c r="BKG3" s="17"/>
      <c r="BKH3" s="17"/>
      <c r="BKI3" s="17"/>
      <c r="BKJ3" s="17"/>
      <c r="BKK3" s="17"/>
      <c r="BKL3" s="17"/>
      <c r="BKM3" s="17"/>
      <c r="BKN3" s="17"/>
      <c r="BKO3" s="17"/>
      <c r="BKP3" s="17"/>
      <c r="BKQ3" s="17"/>
      <c r="BKR3" s="17"/>
      <c r="BKS3" s="17"/>
      <c r="BKT3" s="17"/>
      <c r="BKU3" s="17"/>
      <c r="BKV3" s="17"/>
      <c r="BKW3" s="17"/>
      <c r="BKX3" s="17"/>
      <c r="BKY3" s="17"/>
      <c r="BKZ3" s="17"/>
      <c r="BLA3" s="17"/>
      <c r="BLB3" s="17"/>
      <c r="BLC3" s="17"/>
      <c r="BLD3" s="17"/>
      <c r="BLE3" s="17"/>
      <c r="BLF3" s="17"/>
      <c r="BLG3" s="17"/>
      <c r="BLH3" s="17"/>
      <c r="BLI3" s="17"/>
      <c r="BLJ3" s="17"/>
      <c r="BLK3" s="17"/>
      <c r="BLL3" s="17"/>
      <c r="BLM3" s="17"/>
      <c r="BLN3" s="17"/>
      <c r="BLO3" s="17"/>
      <c r="BLP3" s="17"/>
      <c r="BLQ3" s="17"/>
      <c r="BLR3" s="17"/>
      <c r="BLS3" s="17"/>
      <c r="BLT3" s="17"/>
      <c r="BLU3" s="17"/>
      <c r="BLV3" s="17"/>
      <c r="BLW3" s="17"/>
      <c r="BLX3" s="17"/>
      <c r="BLY3" s="17"/>
      <c r="BLZ3" s="17"/>
      <c r="BMA3" s="17"/>
      <c r="BMB3" s="17"/>
      <c r="BMC3" s="17"/>
      <c r="BMD3" s="17"/>
      <c r="BME3" s="17"/>
      <c r="BMF3" s="17"/>
      <c r="BMG3" s="17"/>
      <c r="BMH3" s="17"/>
      <c r="BMI3" s="17"/>
      <c r="BMJ3" s="17"/>
      <c r="BMK3" s="17"/>
      <c r="BML3" s="17"/>
      <c r="BMM3" s="17"/>
      <c r="BMN3" s="17"/>
      <c r="BMO3" s="17"/>
      <c r="BMP3" s="17"/>
      <c r="BMQ3" s="17"/>
      <c r="BMR3" s="17"/>
      <c r="BMS3" s="17"/>
      <c r="BMT3" s="17"/>
      <c r="BMU3" s="17"/>
      <c r="BMV3" s="17"/>
      <c r="BMW3" s="17"/>
      <c r="BMX3" s="17"/>
      <c r="BMY3" s="17"/>
      <c r="BMZ3" s="17"/>
      <c r="BNA3" s="17"/>
      <c r="BNB3" s="17"/>
      <c r="BNC3" s="17"/>
      <c r="BND3" s="17"/>
      <c r="BNE3" s="17"/>
      <c r="BNF3" s="17"/>
      <c r="BNG3" s="17"/>
      <c r="BNH3" s="17"/>
      <c r="BNI3" s="17"/>
      <c r="BNJ3" s="17"/>
      <c r="BNK3" s="17"/>
      <c r="BNL3" s="17"/>
      <c r="BNM3" s="17"/>
      <c r="BNN3" s="17"/>
      <c r="BNO3" s="17"/>
      <c r="BNP3" s="17"/>
      <c r="BNQ3" s="17"/>
      <c r="BNR3" s="17"/>
      <c r="BNS3" s="17"/>
      <c r="BNT3" s="17"/>
      <c r="BNU3" s="17"/>
      <c r="BNV3" s="17"/>
      <c r="BNW3" s="17"/>
      <c r="BNX3" s="17"/>
      <c r="BNY3" s="17"/>
      <c r="BNZ3" s="17"/>
      <c r="BOA3" s="17"/>
      <c r="BOB3" s="17"/>
      <c r="BOC3" s="17"/>
      <c r="BOD3" s="17"/>
      <c r="BOE3" s="17"/>
      <c r="BOF3" s="17"/>
      <c r="BOG3" s="17"/>
      <c r="BOH3" s="17"/>
      <c r="BOI3" s="17"/>
      <c r="BOJ3" s="17"/>
      <c r="BOK3" s="17"/>
      <c r="BOL3" s="17"/>
      <c r="BOM3" s="17"/>
      <c r="BON3" s="17"/>
      <c r="BOO3" s="17"/>
      <c r="BOP3" s="17"/>
      <c r="BOQ3" s="17"/>
      <c r="BOR3" s="17"/>
      <c r="BOS3" s="17"/>
      <c r="BOT3" s="17"/>
      <c r="BOU3" s="17"/>
      <c r="BOV3" s="17"/>
      <c r="BOW3" s="17"/>
      <c r="BOX3" s="17"/>
      <c r="BOY3" s="17"/>
      <c r="BOZ3" s="17"/>
      <c r="BPA3" s="17"/>
      <c r="BPB3" s="17"/>
      <c r="BPC3" s="17"/>
      <c r="BPD3" s="17"/>
      <c r="BPE3" s="17"/>
      <c r="BPF3" s="17"/>
      <c r="BPG3" s="17"/>
      <c r="BPH3" s="17"/>
      <c r="BPI3" s="17"/>
      <c r="BPJ3" s="17"/>
      <c r="BPK3" s="17"/>
      <c r="BPL3" s="17"/>
      <c r="BPM3" s="17"/>
      <c r="BPN3" s="17"/>
      <c r="BPO3" s="17"/>
      <c r="BPP3" s="17"/>
      <c r="BPQ3" s="17"/>
      <c r="BPR3" s="17"/>
      <c r="BPS3" s="17"/>
      <c r="BPT3" s="17"/>
      <c r="BPU3" s="17"/>
      <c r="BPV3" s="17"/>
      <c r="BPW3" s="17"/>
      <c r="BPX3" s="17"/>
      <c r="BPY3" s="17"/>
      <c r="BPZ3" s="17"/>
      <c r="BQA3" s="17"/>
      <c r="BQB3" s="17"/>
      <c r="BQC3" s="17"/>
      <c r="BQD3" s="17"/>
      <c r="BQE3" s="17"/>
      <c r="BQF3" s="17"/>
      <c r="BQG3" s="17"/>
      <c r="BQH3" s="17"/>
      <c r="BQI3" s="17"/>
      <c r="BQJ3" s="17"/>
      <c r="BQK3" s="17"/>
      <c r="BQL3" s="17"/>
      <c r="BQM3" s="17"/>
      <c r="BQN3" s="17"/>
      <c r="BQO3" s="17"/>
      <c r="BQP3" s="17"/>
      <c r="BQQ3" s="17"/>
      <c r="BQR3" s="17"/>
      <c r="BQS3" s="17"/>
      <c r="BQT3" s="17"/>
      <c r="BQU3" s="17"/>
      <c r="BQV3" s="17"/>
      <c r="BQW3" s="17"/>
      <c r="BQX3" s="17"/>
      <c r="BQY3" s="17"/>
      <c r="BQZ3" s="17"/>
      <c r="BRA3" s="17"/>
      <c r="BRB3" s="17"/>
      <c r="BRC3" s="17"/>
      <c r="BRD3" s="17"/>
      <c r="BRE3" s="17"/>
      <c r="BRF3" s="17"/>
      <c r="BRG3" s="17"/>
      <c r="BRH3" s="17"/>
      <c r="BRI3" s="17"/>
      <c r="BRJ3" s="17"/>
      <c r="BRK3" s="17"/>
      <c r="BRL3" s="17"/>
      <c r="BRM3" s="17"/>
      <c r="BRN3" s="17"/>
      <c r="BRO3" s="17"/>
      <c r="BRP3" s="17"/>
      <c r="BRQ3" s="17"/>
      <c r="BRR3" s="17"/>
      <c r="BRS3" s="17"/>
      <c r="BRT3" s="17"/>
      <c r="BRU3" s="17"/>
      <c r="BRV3" s="17"/>
      <c r="BRW3" s="17"/>
      <c r="BRX3" s="17"/>
      <c r="BRY3" s="17"/>
      <c r="BRZ3" s="17"/>
      <c r="BSA3" s="17"/>
      <c r="BSB3" s="17"/>
      <c r="BSC3" s="17"/>
      <c r="BSD3" s="17"/>
      <c r="BSE3" s="17"/>
      <c r="BSF3" s="17"/>
      <c r="BSG3" s="17"/>
      <c r="BSH3" s="17"/>
      <c r="BSI3" s="17"/>
      <c r="BSJ3" s="17"/>
      <c r="BSK3" s="17"/>
      <c r="BSL3" s="17"/>
      <c r="BSM3" s="17"/>
      <c r="BSN3" s="17"/>
      <c r="BSO3" s="17"/>
      <c r="BSP3" s="17"/>
      <c r="BSQ3" s="17"/>
      <c r="BSR3" s="17"/>
      <c r="BSS3" s="17"/>
      <c r="BST3" s="17"/>
      <c r="BSU3" s="17"/>
      <c r="BSV3" s="17"/>
      <c r="BSW3" s="17"/>
      <c r="BSX3" s="17"/>
      <c r="BSY3" s="17"/>
      <c r="BSZ3" s="17"/>
      <c r="BTA3" s="17"/>
      <c r="BTB3" s="17"/>
      <c r="BTC3" s="17"/>
      <c r="BTD3" s="17"/>
      <c r="BTE3" s="17"/>
      <c r="BTF3" s="17"/>
      <c r="BTG3" s="17"/>
      <c r="BTH3" s="17"/>
      <c r="BTI3" s="17"/>
      <c r="BTJ3" s="17"/>
      <c r="BTK3" s="17"/>
      <c r="BTL3" s="17"/>
      <c r="BTM3" s="17"/>
      <c r="BTN3" s="17"/>
      <c r="BTO3" s="17"/>
      <c r="BTP3" s="17"/>
      <c r="BTQ3" s="17"/>
      <c r="BTR3" s="17"/>
      <c r="BTS3" s="17"/>
      <c r="BTT3" s="17"/>
      <c r="BTU3" s="17"/>
      <c r="BTV3" s="17"/>
      <c r="BTW3" s="17"/>
      <c r="BTX3" s="17"/>
      <c r="BTY3" s="17"/>
      <c r="BTZ3" s="17"/>
      <c r="BUA3" s="17"/>
      <c r="BUB3" s="17"/>
      <c r="BUC3" s="17"/>
      <c r="BUD3" s="17"/>
      <c r="BUE3" s="17"/>
      <c r="BUF3" s="17"/>
      <c r="BUG3" s="17"/>
      <c r="BUH3" s="17"/>
      <c r="BUI3" s="17"/>
      <c r="BUJ3" s="17"/>
      <c r="BUK3" s="17"/>
      <c r="BUL3" s="17"/>
      <c r="BUM3" s="17"/>
      <c r="BUN3" s="17"/>
      <c r="BUO3" s="17"/>
      <c r="BUP3" s="17"/>
      <c r="BUQ3" s="17"/>
      <c r="BUR3" s="17"/>
      <c r="BUS3" s="17"/>
      <c r="BUT3" s="17"/>
      <c r="BUU3" s="17"/>
      <c r="BUV3" s="17"/>
      <c r="BUW3" s="17"/>
      <c r="BUX3" s="17"/>
      <c r="BUY3" s="17"/>
      <c r="BUZ3" s="17"/>
      <c r="BVA3" s="17"/>
      <c r="BVB3" s="17"/>
      <c r="BVC3" s="17"/>
      <c r="BVD3" s="17"/>
      <c r="BVE3" s="17"/>
      <c r="BVF3" s="17"/>
      <c r="BVG3" s="17"/>
      <c r="BVH3" s="17"/>
      <c r="BVI3" s="17"/>
      <c r="BVJ3" s="17"/>
      <c r="BVK3" s="17"/>
      <c r="BVL3" s="17"/>
      <c r="BVM3" s="17"/>
      <c r="BVN3" s="17"/>
      <c r="BVO3" s="17"/>
      <c r="BVP3" s="17"/>
      <c r="BVQ3" s="17"/>
      <c r="BVR3" s="17"/>
      <c r="BVS3" s="17"/>
      <c r="BVT3" s="17"/>
      <c r="BVU3" s="17"/>
      <c r="BVV3" s="17"/>
      <c r="BVW3" s="17"/>
      <c r="BVX3" s="17"/>
      <c r="BVY3" s="17"/>
      <c r="BVZ3" s="17"/>
      <c r="BWA3" s="17"/>
      <c r="BWB3" s="17"/>
      <c r="BWC3" s="17"/>
      <c r="BWD3" s="17"/>
      <c r="BWE3" s="17"/>
      <c r="BWF3" s="17"/>
      <c r="BWG3" s="17"/>
      <c r="BWH3" s="17"/>
      <c r="BWI3" s="17"/>
      <c r="BWJ3" s="17"/>
      <c r="BWK3" s="17"/>
      <c r="BWL3" s="17"/>
      <c r="BWM3" s="17"/>
      <c r="BWN3" s="17"/>
      <c r="BWO3" s="17"/>
      <c r="BWP3" s="17"/>
      <c r="BWQ3" s="17"/>
      <c r="BWR3" s="17"/>
      <c r="BWS3" s="17"/>
      <c r="BWT3" s="17"/>
      <c r="BWU3" s="17"/>
      <c r="BWV3" s="17"/>
      <c r="BWW3" s="17"/>
      <c r="BWX3" s="17"/>
      <c r="BWY3" s="17"/>
      <c r="BWZ3" s="17"/>
      <c r="BXA3" s="17"/>
      <c r="BXB3" s="17"/>
      <c r="BXC3" s="17"/>
      <c r="BXD3" s="17"/>
      <c r="BXE3" s="17"/>
      <c r="BXF3" s="17"/>
      <c r="BXG3" s="17"/>
      <c r="BXH3" s="17"/>
      <c r="BXI3" s="17"/>
      <c r="BXJ3" s="17"/>
      <c r="BXK3" s="17"/>
      <c r="BXL3" s="17"/>
      <c r="BXM3" s="17"/>
      <c r="BXN3" s="17"/>
      <c r="BXO3" s="17"/>
      <c r="BXP3" s="17"/>
      <c r="BXQ3" s="17"/>
      <c r="BXR3" s="17"/>
      <c r="BXS3" s="17"/>
      <c r="BXT3" s="17"/>
      <c r="BXU3" s="17"/>
      <c r="BXV3" s="17"/>
      <c r="BXW3" s="17"/>
      <c r="BXX3" s="17"/>
      <c r="BXY3" s="17"/>
      <c r="BXZ3" s="17"/>
      <c r="BYA3" s="17"/>
      <c r="BYB3" s="17"/>
      <c r="BYC3" s="17"/>
      <c r="BYD3" s="17"/>
      <c r="BYE3" s="17"/>
      <c r="BYF3" s="17"/>
      <c r="BYG3" s="17"/>
      <c r="BYH3" s="17"/>
      <c r="BYI3" s="17"/>
      <c r="BYJ3" s="17"/>
      <c r="BYK3" s="17"/>
      <c r="BYL3" s="17"/>
      <c r="BYM3" s="17"/>
      <c r="BYN3" s="17"/>
      <c r="BYO3" s="17"/>
      <c r="BYP3" s="17"/>
      <c r="BYQ3" s="17"/>
      <c r="BYR3" s="17"/>
      <c r="BYS3" s="17"/>
      <c r="BYT3" s="17"/>
      <c r="BYU3" s="17"/>
      <c r="BYV3" s="17"/>
      <c r="BYW3" s="17"/>
      <c r="BYX3" s="17"/>
      <c r="BYY3" s="17"/>
      <c r="BYZ3" s="17"/>
      <c r="BZA3" s="17"/>
      <c r="BZB3" s="17"/>
      <c r="BZC3" s="17"/>
      <c r="BZD3" s="17"/>
      <c r="BZE3" s="17"/>
      <c r="BZF3" s="17"/>
      <c r="BZG3" s="17"/>
      <c r="BZH3" s="17"/>
      <c r="BZI3" s="17"/>
      <c r="BZJ3" s="17"/>
      <c r="BZK3" s="17"/>
      <c r="BZL3" s="17"/>
      <c r="BZM3" s="17"/>
      <c r="BZN3" s="17"/>
      <c r="BZO3" s="17"/>
      <c r="BZP3" s="17"/>
      <c r="BZQ3" s="17"/>
      <c r="BZR3" s="17"/>
      <c r="BZS3" s="17"/>
      <c r="BZT3" s="17"/>
      <c r="BZU3" s="18"/>
    </row>
    <row r="4" spans="1:2049" outlineLevel="1" x14ac:dyDescent="0.3">
      <c r="A4" s="28" t="s">
        <v>175</v>
      </c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 t="str">
        <f>Receiver_type</f>
        <v>HoTT SUMD</v>
      </c>
      <c r="AR4" s="26" t="str">
        <f>GUI!D23</f>
        <v>High</v>
      </c>
      <c r="AS4" s="17" t="str">
        <f>GUI!D24</f>
        <v>GEAR</v>
      </c>
      <c r="AT4" s="17" t="str">
        <f>GUI!D25</f>
        <v>JR/Spektrum</v>
      </c>
      <c r="AU4" s="17" t="str">
        <f>GUI!D26</f>
        <v>GEAR</v>
      </c>
      <c r="AV4" s="17">
        <f>GUI!D27</f>
        <v>0</v>
      </c>
      <c r="AW4" s="17">
        <f>GUI!D28</f>
        <v>0</v>
      </c>
      <c r="AX4" s="17">
        <f>GUI!D29</f>
        <v>0</v>
      </c>
      <c r="AY4" s="17">
        <f>GUI!D30</f>
        <v>50</v>
      </c>
      <c r="AZ4" s="17">
        <f>GUI!D31</f>
        <v>100</v>
      </c>
      <c r="BA4" s="17" t="str">
        <f>GUI!D32</f>
        <v>OFF</v>
      </c>
      <c r="BB4" s="17">
        <f>GUI!D33</f>
        <v>20</v>
      </c>
      <c r="BC4" s="17">
        <f>P1_P_Gain</f>
        <v>40</v>
      </c>
      <c r="BD4" s="17">
        <f>P1_I_Gain</f>
        <v>10</v>
      </c>
      <c r="BE4" s="17">
        <f>P1_I_Limit</f>
        <v>10</v>
      </c>
      <c r="BF4" s="17">
        <f>P1_I_Rate</f>
        <v>2</v>
      </c>
      <c r="BG4" s="17">
        <f>P1_Roll_AL_P_gain</f>
        <v>10</v>
      </c>
      <c r="BH4" s="17">
        <f>P1_Roll_AL_trim</f>
        <v>0</v>
      </c>
      <c r="BI4" s="17">
        <f>P1_Pitch_P_Gain</f>
        <v>40</v>
      </c>
      <c r="BJ4" s="17">
        <f>P1_Pitch_I_Gain</f>
        <v>10</v>
      </c>
      <c r="BK4" s="17">
        <f>P1_Pitch_I_Limit</f>
        <v>10</v>
      </c>
      <c r="BL4" s="17">
        <f>P1_Pitch_I_Rate</f>
        <v>2</v>
      </c>
      <c r="BM4" s="17">
        <f>P1_Pitch_AL_P_gain</f>
        <v>10</v>
      </c>
      <c r="BN4" s="17">
        <f>P1_Pitch_AL_trim</f>
        <v>0</v>
      </c>
      <c r="BO4" s="17">
        <f>P1_Yaw_P_Gain</f>
        <v>60</v>
      </c>
      <c r="BP4" s="17">
        <f>P1_Yaw_I_Gain</f>
        <v>40</v>
      </c>
      <c r="BQ4" s="17">
        <f>P1_Yaw_I_Limit</f>
        <v>25</v>
      </c>
      <c r="BR4" s="17">
        <f>P1_Yaw_I_Rate</f>
        <v>2</v>
      </c>
      <c r="BS4" s="17">
        <f>P1_Yaw_Trim</f>
        <v>0</v>
      </c>
      <c r="BT4" s="17">
        <f>P1_Z_Gain</f>
        <v>40</v>
      </c>
      <c r="BU4" s="17">
        <f>P1_Z_I_Gain</f>
        <v>20</v>
      </c>
      <c r="BV4" s="17">
        <f>P1_Z_I_Limit</f>
        <v>10</v>
      </c>
      <c r="BW4" s="17">
        <f>P2_P_Gain</f>
        <v>40</v>
      </c>
      <c r="BX4" s="17">
        <f>P2_I_Gain</f>
        <v>19</v>
      </c>
      <c r="BY4" s="17">
        <f>P2_I_Limit</f>
        <v>14</v>
      </c>
      <c r="BZ4" s="17">
        <f>P2_I_Rate</f>
        <v>3</v>
      </c>
      <c r="CA4" s="17">
        <f>P2_Roll_AL_P_gain</f>
        <v>1</v>
      </c>
      <c r="CB4" s="17">
        <f>P2_Roll_AL_trim</f>
        <v>0</v>
      </c>
      <c r="CC4" s="17">
        <f>P2_Pitch_P_Gain</f>
        <v>40</v>
      </c>
      <c r="CD4" s="17">
        <f>P2_Pitch_I_Gain</f>
        <v>19</v>
      </c>
      <c r="CE4" s="17">
        <f>P2_Pitch_I_Limit</f>
        <v>14</v>
      </c>
      <c r="CF4" s="17">
        <f>P2_Pitch_I_Rate</f>
        <v>3</v>
      </c>
      <c r="CG4" s="17">
        <f>P2_Pitch_AL_P_gain</f>
        <v>1</v>
      </c>
      <c r="CH4" s="17">
        <f>P2_Pitch_AL_trim</f>
        <v>0</v>
      </c>
      <c r="CI4" s="17">
        <f>P2_Yaw_P_Gain</f>
        <v>60</v>
      </c>
      <c r="CJ4" s="17">
        <f>P2_Yaw_I_Gain</f>
        <v>40</v>
      </c>
      <c r="CK4" s="17">
        <f>P2_Yaw_I_Limit</f>
        <v>25</v>
      </c>
      <c r="CL4" s="17">
        <f>P2_Yaw_I_Rate</f>
        <v>2</v>
      </c>
      <c r="CM4" s="17">
        <f>P2_Yaw_Trim</f>
        <v>0</v>
      </c>
      <c r="CN4" s="17">
        <f>P2_Z_P_Gain</f>
        <v>0</v>
      </c>
      <c r="CO4" s="17">
        <f>P2_Z_I_Gain</f>
        <v>0</v>
      </c>
      <c r="CP4" s="17">
        <f>P2_Z_I_Limit</f>
        <v>0</v>
      </c>
      <c r="CQ4" s="17"/>
      <c r="CR4" s="17"/>
      <c r="CS4" s="17"/>
      <c r="CT4" s="17"/>
      <c r="CU4" s="17"/>
      <c r="CV4" s="17"/>
      <c r="CW4" s="17"/>
      <c r="CX4" s="17"/>
      <c r="CY4" s="17"/>
      <c r="CZ4" s="17"/>
      <c r="DA4" s="17"/>
      <c r="DB4" s="17"/>
      <c r="DC4" s="17"/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17"/>
      <c r="EB4" s="17"/>
      <c r="EC4" s="17"/>
      <c r="ED4" s="17"/>
      <c r="EE4" s="17"/>
      <c r="EF4" s="17"/>
      <c r="EG4" s="17"/>
      <c r="EH4" s="17"/>
      <c r="EI4" s="17"/>
      <c r="EJ4" s="17"/>
      <c r="EK4" s="17"/>
      <c r="EL4" s="17"/>
      <c r="EM4" s="17"/>
      <c r="EN4" s="17"/>
      <c r="EO4" s="17"/>
      <c r="EP4" s="17"/>
      <c r="EQ4" s="17"/>
      <c r="ER4" s="17"/>
      <c r="ES4" s="17"/>
      <c r="ET4" s="17"/>
      <c r="EU4" s="17"/>
      <c r="EV4" s="17"/>
      <c r="EW4" s="17"/>
      <c r="EX4" s="17"/>
      <c r="EY4" s="17"/>
      <c r="EZ4" s="17"/>
      <c r="FA4" s="17"/>
      <c r="FB4" s="17"/>
      <c r="FC4" s="17"/>
      <c r="FD4" s="17"/>
      <c r="FE4" s="17" t="str">
        <f>Orientation</f>
        <v>Top-Rear</v>
      </c>
      <c r="FF4" s="17" t="str">
        <f>Reference</f>
        <v>No</v>
      </c>
      <c r="FG4" s="17">
        <f>Contrast</f>
        <v>36</v>
      </c>
      <c r="FH4" s="17" t="str">
        <f>Arming</f>
        <v>Armable</v>
      </c>
      <c r="FI4" s="17">
        <f>Disarm</f>
        <v>30</v>
      </c>
      <c r="FJ4" s="17" t="str">
        <f>LVA</f>
        <v>OFF</v>
      </c>
      <c r="FK4" s="17" t="str">
        <f>MPULPF</f>
        <v>44Hz</v>
      </c>
      <c r="FL4" s="17" t="str">
        <f>ACCLPF</f>
        <v>21Hz</v>
      </c>
      <c r="FM4" s="17" t="str">
        <f>GYROLPF</f>
        <v>None</v>
      </c>
      <c r="FN4" s="17">
        <f>ALCorrect</f>
        <v>6</v>
      </c>
      <c r="FO4" s="17" t="str">
        <f>Preset</f>
        <v>Options</v>
      </c>
      <c r="FP4" s="17" t="str">
        <f>Buzzer</f>
        <v>ON</v>
      </c>
      <c r="FQ4" s="17">
        <v>0</v>
      </c>
      <c r="FR4" s="17">
        <v>0</v>
      </c>
      <c r="FS4" s="17">
        <v>0</v>
      </c>
      <c r="FT4" s="17">
        <v>0</v>
      </c>
      <c r="FU4" s="17" t="s">
        <v>266</v>
      </c>
      <c r="FV4" s="17">
        <v>100</v>
      </c>
      <c r="FW4" s="17">
        <v>100</v>
      </c>
      <c r="FX4" s="17" t="s">
        <v>268</v>
      </c>
      <c r="FY4" s="17">
        <v>15</v>
      </c>
      <c r="FZ4" s="17">
        <v>20</v>
      </c>
      <c r="GA4" s="17">
        <v>-15</v>
      </c>
      <c r="GB4" s="17">
        <v>-20</v>
      </c>
      <c r="GC4" s="17">
        <v>-40</v>
      </c>
      <c r="GD4" s="17">
        <v>-50</v>
      </c>
      <c r="GE4" s="17" t="s">
        <v>30</v>
      </c>
      <c r="GF4" s="17" t="s">
        <v>30</v>
      </c>
      <c r="GG4" s="17" t="s">
        <v>30</v>
      </c>
      <c r="GH4" s="17" t="s">
        <v>30</v>
      </c>
      <c r="GI4" s="17" t="s">
        <v>30</v>
      </c>
      <c r="GJ4" s="17" t="s">
        <v>30</v>
      </c>
      <c r="GK4" s="17" t="s">
        <v>30</v>
      </c>
      <c r="GL4" s="17" t="s">
        <v>30</v>
      </c>
      <c r="GM4" s="17" t="s">
        <v>30</v>
      </c>
      <c r="GN4" s="17" t="s">
        <v>30</v>
      </c>
      <c r="GO4" s="17" t="s">
        <v>30</v>
      </c>
      <c r="GP4" s="17" t="s">
        <v>30</v>
      </c>
      <c r="GQ4" s="17" t="s">
        <v>234</v>
      </c>
      <c r="GR4" s="17">
        <v>0</v>
      </c>
      <c r="GS4" s="17" t="s">
        <v>234</v>
      </c>
      <c r="GT4" s="17">
        <v>0</v>
      </c>
      <c r="GU4" s="17" t="s">
        <v>234</v>
      </c>
      <c r="GV4" s="17">
        <v>0</v>
      </c>
      <c r="GW4" s="17" t="s">
        <v>234</v>
      </c>
      <c r="GX4" s="17">
        <v>0</v>
      </c>
      <c r="GY4" s="17">
        <v>0</v>
      </c>
      <c r="GZ4" s="17">
        <v>0</v>
      </c>
      <c r="HA4" s="17">
        <v>0</v>
      </c>
      <c r="HB4" s="17">
        <v>0</v>
      </c>
      <c r="HC4" s="17" t="s">
        <v>266</v>
      </c>
      <c r="HD4" s="17">
        <v>100</v>
      </c>
      <c r="HE4" s="17">
        <v>100</v>
      </c>
      <c r="HF4" s="17" t="s">
        <v>268</v>
      </c>
      <c r="HG4" s="17">
        <v>-15</v>
      </c>
      <c r="HH4" s="17">
        <v>-20</v>
      </c>
      <c r="HI4" s="17">
        <v>-15</v>
      </c>
      <c r="HJ4" s="17">
        <v>-20</v>
      </c>
      <c r="HK4" s="17">
        <v>40</v>
      </c>
      <c r="HL4" s="17">
        <v>50</v>
      </c>
      <c r="HM4" s="17" t="s">
        <v>30</v>
      </c>
      <c r="HN4" s="17" t="s">
        <v>30</v>
      </c>
      <c r="HO4" s="17" t="s">
        <v>30</v>
      </c>
      <c r="HP4" s="17" t="s">
        <v>30</v>
      </c>
      <c r="HQ4" s="17" t="s">
        <v>30</v>
      </c>
      <c r="HR4" s="17" t="s">
        <v>30</v>
      </c>
      <c r="HS4" s="17" t="s">
        <v>30</v>
      </c>
      <c r="HT4" s="17" t="s">
        <v>30</v>
      </c>
      <c r="HU4" s="17" t="s">
        <v>30</v>
      </c>
      <c r="HV4" s="17" t="s">
        <v>30</v>
      </c>
      <c r="HW4" s="17" t="s">
        <v>30</v>
      </c>
      <c r="HX4" s="17" t="s">
        <v>30</v>
      </c>
      <c r="HY4" s="17" t="s">
        <v>234</v>
      </c>
      <c r="HZ4" s="17">
        <v>0</v>
      </c>
      <c r="IA4" s="17" t="s">
        <v>234</v>
      </c>
      <c r="IB4" s="17">
        <v>0</v>
      </c>
      <c r="IC4" s="17" t="s">
        <v>234</v>
      </c>
      <c r="ID4" s="17">
        <v>0</v>
      </c>
      <c r="IE4" s="17" t="s">
        <v>234</v>
      </c>
      <c r="IF4" s="17">
        <v>0</v>
      </c>
      <c r="IG4" s="17">
        <v>0</v>
      </c>
      <c r="IH4" s="17">
        <v>0</v>
      </c>
      <c r="II4" s="17">
        <v>0</v>
      </c>
      <c r="IJ4" s="17">
        <v>0</v>
      </c>
      <c r="IK4" s="17" t="s">
        <v>266</v>
      </c>
      <c r="IL4" s="17">
        <v>100</v>
      </c>
      <c r="IM4" s="17">
        <v>100</v>
      </c>
      <c r="IN4" s="17" t="s">
        <v>268</v>
      </c>
      <c r="IO4" s="17">
        <v>-15</v>
      </c>
      <c r="IP4" s="17">
        <v>-20</v>
      </c>
      <c r="IQ4" s="17">
        <v>15</v>
      </c>
      <c r="IR4" s="17">
        <v>20</v>
      </c>
      <c r="IS4" s="17">
        <v>-40</v>
      </c>
      <c r="IT4" s="17">
        <v>-50</v>
      </c>
      <c r="IU4" s="17" t="s">
        <v>30</v>
      </c>
      <c r="IV4" s="17" t="s">
        <v>30</v>
      </c>
      <c r="IW4" s="17" t="s">
        <v>30</v>
      </c>
      <c r="IX4" s="17" t="s">
        <v>30</v>
      </c>
      <c r="IY4" s="17" t="s">
        <v>30</v>
      </c>
      <c r="IZ4" s="17" t="s">
        <v>30</v>
      </c>
      <c r="JA4" s="17" t="s">
        <v>30</v>
      </c>
      <c r="JB4" s="17" t="s">
        <v>30</v>
      </c>
      <c r="JC4" s="17" t="s">
        <v>30</v>
      </c>
      <c r="JD4" s="17" t="s">
        <v>30</v>
      </c>
      <c r="JE4" s="17" t="s">
        <v>30</v>
      </c>
      <c r="JF4" s="17" t="s">
        <v>30</v>
      </c>
      <c r="JG4" s="17" t="s">
        <v>234</v>
      </c>
      <c r="JH4" s="17">
        <v>0</v>
      </c>
      <c r="JI4" s="17" t="s">
        <v>234</v>
      </c>
      <c r="JJ4" s="17">
        <v>0</v>
      </c>
      <c r="JK4" s="17" t="s">
        <v>234</v>
      </c>
      <c r="JL4" s="17">
        <v>0</v>
      </c>
      <c r="JM4" s="17" t="s">
        <v>234</v>
      </c>
      <c r="JN4" s="17">
        <v>0</v>
      </c>
      <c r="JO4" s="17">
        <v>0</v>
      </c>
      <c r="JP4" s="17">
        <v>0</v>
      </c>
      <c r="JQ4" s="17">
        <v>0</v>
      </c>
      <c r="JR4" s="17">
        <v>0</v>
      </c>
      <c r="JS4" s="17" t="s">
        <v>266</v>
      </c>
      <c r="JT4" s="17">
        <v>100</v>
      </c>
      <c r="JU4" s="17">
        <v>100</v>
      </c>
      <c r="JV4" s="17" t="s">
        <v>268</v>
      </c>
      <c r="JW4" s="17">
        <v>15</v>
      </c>
      <c r="JX4" s="17">
        <v>20</v>
      </c>
      <c r="JY4" s="17">
        <v>15</v>
      </c>
      <c r="JZ4" s="17">
        <v>20</v>
      </c>
      <c r="KA4" s="17">
        <v>40</v>
      </c>
      <c r="KB4" s="17">
        <v>50</v>
      </c>
      <c r="KC4" s="17" t="s">
        <v>30</v>
      </c>
      <c r="KD4" s="17" t="s">
        <v>30</v>
      </c>
      <c r="KE4" s="17" t="s">
        <v>30</v>
      </c>
      <c r="KF4" s="17" t="s">
        <v>30</v>
      </c>
      <c r="KG4" s="17" t="s">
        <v>30</v>
      </c>
      <c r="KH4" s="17" t="s">
        <v>30</v>
      </c>
      <c r="KI4" s="17" t="s">
        <v>30</v>
      </c>
      <c r="KJ4" s="17" t="s">
        <v>30</v>
      </c>
      <c r="KK4" s="17" t="s">
        <v>30</v>
      </c>
      <c r="KL4" s="17" t="s">
        <v>30</v>
      </c>
      <c r="KM4" s="17" t="s">
        <v>30</v>
      </c>
      <c r="KN4" s="17" t="s">
        <v>30</v>
      </c>
      <c r="KO4" s="17" t="s">
        <v>234</v>
      </c>
      <c r="KP4" s="17">
        <v>0</v>
      </c>
      <c r="KQ4" s="17" t="s">
        <v>234</v>
      </c>
      <c r="KR4" s="17">
        <v>0</v>
      </c>
      <c r="KS4" s="17" t="s">
        <v>234</v>
      </c>
      <c r="KT4" s="17">
        <v>0</v>
      </c>
      <c r="KU4" s="17" t="s">
        <v>234</v>
      </c>
      <c r="KV4" s="17">
        <v>0</v>
      </c>
      <c r="KW4" s="17">
        <v>0</v>
      </c>
      <c r="KX4" s="17">
        <v>0</v>
      </c>
      <c r="KY4" s="17">
        <v>0</v>
      </c>
      <c r="KZ4" s="17">
        <v>0</v>
      </c>
      <c r="LA4" s="17" t="s">
        <v>264</v>
      </c>
      <c r="LB4" s="17">
        <v>0</v>
      </c>
      <c r="LC4" s="17">
        <v>0</v>
      </c>
      <c r="LD4" s="17" t="s">
        <v>268</v>
      </c>
      <c r="LE4" s="17">
        <v>0</v>
      </c>
      <c r="LF4" s="17">
        <v>0</v>
      </c>
      <c r="LG4" s="17">
        <v>75</v>
      </c>
      <c r="LH4" s="17">
        <v>100</v>
      </c>
      <c r="LI4" s="17">
        <v>0</v>
      </c>
      <c r="LJ4" s="17">
        <v>0</v>
      </c>
      <c r="LK4" s="17" t="s">
        <v>29</v>
      </c>
      <c r="LL4" s="17" t="s">
        <v>29</v>
      </c>
      <c r="LM4" s="17" t="s">
        <v>29</v>
      </c>
      <c r="LN4" s="17" t="s">
        <v>29</v>
      </c>
      <c r="LO4" s="17" t="s">
        <v>29</v>
      </c>
      <c r="LP4" s="17" t="s">
        <v>29</v>
      </c>
      <c r="LQ4" s="17" t="s">
        <v>29</v>
      </c>
      <c r="LR4" s="17" t="s">
        <v>29</v>
      </c>
      <c r="LS4" s="17" t="s">
        <v>29</v>
      </c>
      <c r="LT4" s="17" t="s">
        <v>29</v>
      </c>
      <c r="LU4" s="17" t="s">
        <v>29</v>
      </c>
      <c r="LV4" s="17" t="s">
        <v>29</v>
      </c>
      <c r="LW4" s="17" t="s">
        <v>234</v>
      </c>
      <c r="LX4" s="17">
        <v>0</v>
      </c>
      <c r="LY4" s="17" t="s">
        <v>234</v>
      </c>
      <c r="LZ4" s="17">
        <v>0</v>
      </c>
      <c r="MA4" s="17" t="s">
        <v>234</v>
      </c>
      <c r="MB4" s="17">
        <v>0</v>
      </c>
      <c r="MC4" s="17" t="s">
        <v>234</v>
      </c>
      <c r="MD4" s="17">
        <v>0</v>
      </c>
      <c r="ME4" s="17">
        <v>0</v>
      </c>
      <c r="MF4" s="17">
        <v>0</v>
      </c>
      <c r="MG4" s="17">
        <v>0</v>
      </c>
      <c r="MH4" s="17">
        <v>0</v>
      </c>
      <c r="MI4" s="17" t="s">
        <v>264</v>
      </c>
      <c r="MJ4" s="17">
        <v>0</v>
      </c>
      <c r="MK4" s="17">
        <v>0</v>
      </c>
      <c r="ML4" s="17" t="s">
        <v>268</v>
      </c>
      <c r="MM4" s="17">
        <v>75</v>
      </c>
      <c r="MN4" s="17">
        <v>100</v>
      </c>
      <c r="MO4" s="17">
        <v>0</v>
      </c>
      <c r="MP4" s="17">
        <v>0</v>
      </c>
      <c r="MQ4" s="17">
        <v>0</v>
      </c>
      <c r="MR4" s="17">
        <v>0</v>
      </c>
      <c r="MS4" s="17" t="s">
        <v>29</v>
      </c>
      <c r="MT4" s="17" t="s">
        <v>29</v>
      </c>
      <c r="MU4" s="17" t="s">
        <v>29</v>
      </c>
      <c r="MV4" s="17" t="s">
        <v>29</v>
      </c>
      <c r="MW4" s="17" t="s">
        <v>29</v>
      </c>
      <c r="MX4" s="17" t="s">
        <v>29</v>
      </c>
      <c r="MY4" s="17" t="s">
        <v>29</v>
      </c>
      <c r="MZ4" s="17" t="s">
        <v>29</v>
      </c>
      <c r="NA4" s="17" t="s">
        <v>29</v>
      </c>
      <c r="NB4" s="17" t="s">
        <v>29</v>
      </c>
      <c r="NC4" s="17" t="s">
        <v>29</v>
      </c>
      <c r="ND4" s="17" t="s">
        <v>29</v>
      </c>
      <c r="NE4" s="17" t="s">
        <v>234</v>
      </c>
      <c r="NF4" s="17">
        <v>0</v>
      </c>
      <c r="NG4" s="17" t="s">
        <v>234</v>
      </c>
      <c r="NH4" s="17">
        <v>0</v>
      </c>
      <c r="NI4" s="17" t="s">
        <v>234</v>
      </c>
      <c r="NJ4" s="17">
        <v>0</v>
      </c>
      <c r="NK4" s="17" t="s">
        <v>234</v>
      </c>
      <c r="NL4" s="17">
        <v>0</v>
      </c>
      <c r="NM4" s="17">
        <v>0</v>
      </c>
      <c r="NN4" s="17">
        <v>0</v>
      </c>
      <c r="NO4" s="17">
        <v>0</v>
      </c>
      <c r="NP4" s="17">
        <v>0</v>
      </c>
      <c r="NQ4" s="17" t="s">
        <v>264</v>
      </c>
      <c r="NR4" s="17">
        <v>0</v>
      </c>
      <c r="NS4" s="17">
        <v>0</v>
      </c>
      <c r="NT4" s="17" t="s">
        <v>268</v>
      </c>
      <c r="NU4" s="17">
        <v>0</v>
      </c>
      <c r="NV4" s="17">
        <v>0</v>
      </c>
      <c r="NW4" s="17">
        <v>0</v>
      </c>
      <c r="NX4" s="17">
        <v>0</v>
      </c>
      <c r="NY4" s="17">
        <v>75</v>
      </c>
      <c r="NZ4" s="17">
        <v>100</v>
      </c>
      <c r="OA4" s="17" t="s">
        <v>29</v>
      </c>
      <c r="OB4" s="17" t="s">
        <v>29</v>
      </c>
      <c r="OC4" s="17" t="s">
        <v>29</v>
      </c>
      <c r="OD4" s="17" t="s">
        <v>29</v>
      </c>
      <c r="OE4" s="17" t="s">
        <v>29</v>
      </c>
      <c r="OF4" s="17" t="s">
        <v>29</v>
      </c>
      <c r="OG4" s="17" t="s">
        <v>29</v>
      </c>
      <c r="OH4" s="17" t="s">
        <v>29</v>
      </c>
      <c r="OI4" s="17" t="s">
        <v>29</v>
      </c>
      <c r="OJ4" s="17" t="s">
        <v>29</v>
      </c>
      <c r="OK4" s="17" t="s">
        <v>29</v>
      </c>
      <c r="OL4" s="17" t="s">
        <v>29</v>
      </c>
      <c r="OM4" s="17" t="s">
        <v>234</v>
      </c>
      <c r="ON4" s="17">
        <v>0</v>
      </c>
      <c r="OO4" s="17" t="s">
        <v>234</v>
      </c>
      <c r="OP4" s="17">
        <v>0</v>
      </c>
      <c r="OQ4" s="17" t="s">
        <v>234</v>
      </c>
      <c r="OR4" s="17">
        <v>0</v>
      </c>
      <c r="OS4" s="17" t="s">
        <v>234</v>
      </c>
      <c r="OT4" s="17">
        <v>0</v>
      </c>
      <c r="OU4" s="17">
        <v>0</v>
      </c>
      <c r="OV4" s="17">
        <v>0</v>
      </c>
      <c r="OW4" s="17">
        <v>0</v>
      </c>
      <c r="OX4" s="17">
        <v>0</v>
      </c>
      <c r="OY4" s="17" t="s">
        <v>264</v>
      </c>
      <c r="OZ4" s="17">
        <v>0</v>
      </c>
      <c r="PA4" s="17">
        <v>0</v>
      </c>
      <c r="PB4" s="17" t="s">
        <v>268</v>
      </c>
      <c r="PC4" s="17">
        <v>0</v>
      </c>
      <c r="PD4" s="17">
        <v>0</v>
      </c>
      <c r="PE4" s="17">
        <v>0</v>
      </c>
      <c r="PF4" s="17">
        <v>0</v>
      </c>
      <c r="PG4" s="17">
        <v>0</v>
      </c>
      <c r="PH4" s="17">
        <v>0</v>
      </c>
      <c r="PI4" s="17" t="s">
        <v>29</v>
      </c>
      <c r="PJ4" s="17" t="s">
        <v>29</v>
      </c>
      <c r="PK4" s="17" t="s">
        <v>29</v>
      </c>
      <c r="PL4" s="17" t="s">
        <v>29</v>
      </c>
      <c r="PM4" s="17" t="s">
        <v>29</v>
      </c>
      <c r="PN4" s="17" t="s">
        <v>29</v>
      </c>
      <c r="PO4" s="17" t="s">
        <v>29</v>
      </c>
      <c r="PP4" s="17" t="s">
        <v>29</v>
      </c>
      <c r="PQ4" s="17" t="s">
        <v>29</v>
      </c>
      <c r="PR4" s="17" t="s">
        <v>29</v>
      </c>
      <c r="PS4" s="17" t="s">
        <v>29</v>
      </c>
      <c r="PT4" s="17" t="s">
        <v>29</v>
      </c>
      <c r="PU4" s="17" t="s">
        <v>234</v>
      </c>
      <c r="PV4" s="17">
        <v>0</v>
      </c>
      <c r="PW4" s="17" t="s">
        <v>234</v>
      </c>
      <c r="PX4" s="17">
        <v>0</v>
      </c>
      <c r="PY4" s="17" t="s">
        <v>234</v>
      </c>
      <c r="PZ4" s="17">
        <v>0</v>
      </c>
      <c r="QA4" s="17" t="s">
        <v>234</v>
      </c>
      <c r="QB4" s="17">
        <v>0</v>
      </c>
      <c r="QC4" s="17" t="str">
        <f>GUI!D259</f>
        <v>Normal</v>
      </c>
      <c r="QD4" s="17" t="str">
        <f>GUI!E259</f>
        <v>Normal</v>
      </c>
      <c r="QE4" s="17" t="str">
        <f>GUI!F259</f>
        <v>Normal</v>
      </c>
      <c r="QF4" s="17" t="str">
        <f>GUI!G259</f>
        <v>Normal</v>
      </c>
      <c r="QG4" s="17" t="str">
        <f>GUI!H259</f>
        <v>Normal</v>
      </c>
      <c r="QH4" s="17" t="str">
        <f>GUI!I259</f>
        <v>Normal</v>
      </c>
      <c r="QI4" s="17" t="str">
        <f>GUI!J259</f>
        <v>Normal</v>
      </c>
      <c r="QJ4" s="17" t="str">
        <f>GUI!K259</f>
        <v>Normal</v>
      </c>
      <c r="QK4" s="17">
        <f>GUI!D266</f>
        <v>-100</v>
      </c>
      <c r="QL4" s="17">
        <f>GUI!E266</f>
        <v>-100</v>
      </c>
      <c r="QM4" s="17">
        <f>GUI!F266</f>
        <v>-100</v>
      </c>
      <c r="QN4" s="17">
        <f>GUI!G266</f>
        <v>-100</v>
      </c>
      <c r="QO4" s="17">
        <f>GUI!H266</f>
        <v>-100</v>
      </c>
      <c r="QP4" s="17">
        <f>GUI!I266</f>
        <v>-100</v>
      </c>
      <c r="QQ4" s="17">
        <f>GUI!J266</f>
        <v>-100</v>
      </c>
      <c r="QR4" s="17">
        <f>GUI!K266</f>
        <v>-100</v>
      </c>
      <c r="QS4" s="17">
        <f>GUI!D267</f>
        <v>100</v>
      </c>
      <c r="QT4" s="17">
        <f>GUI!E267</f>
        <v>100</v>
      </c>
      <c r="QU4" s="17">
        <f>GUI!F267</f>
        <v>100</v>
      </c>
      <c r="QV4" s="17">
        <f>GUI!G267</f>
        <v>100</v>
      </c>
      <c r="QW4" s="17">
        <f>GUI!H267</f>
        <v>100</v>
      </c>
      <c r="QX4" s="17">
        <f>GUI!I267</f>
        <v>100</v>
      </c>
      <c r="QY4" s="17">
        <f>GUI!J267</f>
        <v>100</v>
      </c>
      <c r="QZ4" s="17">
        <f>GUI!K267</f>
        <v>100</v>
      </c>
      <c r="RA4" s="17"/>
      <c r="RB4" s="17"/>
      <c r="RC4" s="17"/>
      <c r="RD4" s="17"/>
      <c r="RE4" s="17"/>
      <c r="RF4" s="17"/>
      <c r="RG4" s="17"/>
      <c r="RH4" s="17"/>
      <c r="RI4" s="17"/>
      <c r="RJ4" s="17"/>
      <c r="RK4" s="17"/>
      <c r="RL4" s="17"/>
      <c r="RM4" s="17"/>
      <c r="RN4" s="17"/>
      <c r="RO4" s="17"/>
      <c r="RP4" s="17"/>
      <c r="RQ4" s="17"/>
      <c r="RR4" s="17"/>
      <c r="RS4" s="17"/>
      <c r="RT4" s="17"/>
      <c r="RU4" s="17"/>
      <c r="RV4" s="17"/>
      <c r="RW4" s="17"/>
      <c r="RX4" s="17"/>
      <c r="RY4" s="17"/>
      <c r="RZ4" s="17"/>
      <c r="SA4" s="17"/>
      <c r="SB4" s="17"/>
      <c r="SC4" s="17"/>
      <c r="SD4" s="17"/>
      <c r="SE4" s="17"/>
      <c r="SF4" s="17"/>
      <c r="SG4" s="17"/>
      <c r="SH4" s="17"/>
      <c r="SI4" s="17"/>
      <c r="SJ4" s="17"/>
      <c r="SK4" s="17"/>
      <c r="SL4" s="17"/>
      <c r="SM4" s="17"/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17"/>
      <c r="TA4" s="17"/>
      <c r="TB4" s="17"/>
      <c r="TC4" s="17"/>
      <c r="TD4" s="17"/>
      <c r="TE4" s="17"/>
      <c r="TF4" s="17"/>
      <c r="TG4" s="17"/>
      <c r="TH4" s="17"/>
      <c r="TI4" s="17"/>
      <c r="TJ4" s="17"/>
      <c r="TK4" s="17"/>
      <c r="TL4" s="17"/>
      <c r="TM4" s="17"/>
      <c r="TN4" s="17"/>
      <c r="TO4" s="17"/>
      <c r="TP4" s="17"/>
      <c r="TQ4" s="17"/>
      <c r="TR4" s="17"/>
      <c r="TS4" s="17"/>
      <c r="TT4" s="17"/>
      <c r="TU4" s="17"/>
      <c r="TV4" s="17"/>
      <c r="TW4" s="17"/>
      <c r="TX4" s="17"/>
      <c r="TY4" s="17"/>
      <c r="TZ4" s="17"/>
      <c r="UA4" s="17"/>
      <c r="UB4" s="17"/>
      <c r="UC4" s="17"/>
      <c r="UD4" s="17"/>
      <c r="UE4" s="17"/>
      <c r="UF4" s="17"/>
      <c r="UG4" s="17"/>
      <c r="UH4" s="17"/>
      <c r="UI4" s="17"/>
      <c r="UJ4" s="17"/>
      <c r="UK4" s="17">
        <f>Curve1P1</f>
        <v>0</v>
      </c>
      <c r="UL4" s="17">
        <f>Curve1P2</f>
        <v>17</v>
      </c>
      <c r="UM4" s="17">
        <f>Curve1P3</f>
        <v>33</v>
      </c>
      <c r="UN4" s="17">
        <f>Curve1P4</f>
        <v>50</v>
      </c>
      <c r="UO4" s="17">
        <f>Curve1P5</f>
        <v>67</v>
      </c>
      <c r="UP4" s="17">
        <f>Curve1P6</f>
        <v>83</v>
      </c>
      <c r="UQ4" s="17">
        <f>Curve1P7</f>
        <v>100</v>
      </c>
      <c r="UR4" s="17">
        <f>0</f>
        <v>0</v>
      </c>
      <c r="US4" s="17">
        <f>Curve2P1</f>
        <v>0</v>
      </c>
      <c r="UT4" s="17">
        <f>Curve2P2</f>
        <v>17</v>
      </c>
      <c r="UU4" s="17">
        <f>Curve2P3</f>
        <v>33</v>
      </c>
      <c r="UV4" s="17">
        <f>Curve2P4</f>
        <v>50</v>
      </c>
      <c r="UW4" s="17">
        <f>Curve2P5</f>
        <v>67</v>
      </c>
      <c r="UX4" s="17">
        <f>Curve2P6</f>
        <v>83</v>
      </c>
      <c r="UY4" s="17">
        <f>Curve2P7</f>
        <v>100</v>
      </c>
      <c r="UZ4" s="17">
        <f>0</f>
        <v>0</v>
      </c>
      <c r="VA4" s="17">
        <f>Curve3P1</f>
        <v>-100</v>
      </c>
      <c r="VB4" s="17">
        <f>Curve3P2</f>
        <v>-67</v>
      </c>
      <c r="VC4" s="17">
        <f>Curve3P3</f>
        <v>-33</v>
      </c>
      <c r="VD4" s="17">
        <f>Curve3P4</f>
        <v>0</v>
      </c>
      <c r="VE4" s="17">
        <f>Curve3P5</f>
        <v>33</v>
      </c>
      <c r="VF4" s="17">
        <f>Curve3P6</f>
        <v>67</v>
      </c>
      <c r="VG4" s="17">
        <f>Curve3P7</f>
        <v>100</v>
      </c>
      <c r="VH4" s="17">
        <f>0</f>
        <v>0</v>
      </c>
      <c r="VI4" s="17">
        <f>Curve4P1</f>
        <v>-100</v>
      </c>
      <c r="VJ4" s="17">
        <f>Curve4P2</f>
        <v>-67</v>
      </c>
      <c r="VK4" s="17">
        <f>Curve4P3</f>
        <v>-33</v>
      </c>
      <c r="VL4" s="17">
        <f>Curve4P4</f>
        <v>0</v>
      </c>
      <c r="VM4" s="17">
        <f>Curve4P5</f>
        <v>33</v>
      </c>
      <c r="VN4" s="17">
        <f>Curve4P6</f>
        <v>67</v>
      </c>
      <c r="VO4" s="17">
        <f>Curve4P7</f>
        <v>100</v>
      </c>
      <c r="VP4" s="17">
        <f>VP3</f>
        <v>0</v>
      </c>
      <c r="VQ4" s="17">
        <f>Curve5P1</f>
        <v>-100</v>
      </c>
      <c r="VR4" s="17">
        <f>Curve5P2</f>
        <v>-67</v>
      </c>
      <c r="VS4" s="17">
        <f>Curve5P3</f>
        <v>-33</v>
      </c>
      <c r="VT4" s="17">
        <f>Curve5P4</f>
        <v>0</v>
      </c>
      <c r="VU4" s="17">
        <f>Curve5P5</f>
        <v>33</v>
      </c>
      <c r="VV4" s="17">
        <f>Curve5P6</f>
        <v>67</v>
      </c>
      <c r="VW4" s="17">
        <f>Curve5P7</f>
        <v>100</v>
      </c>
      <c r="VX4" s="17" t="str">
        <f>Curve5Source</f>
        <v>None</v>
      </c>
      <c r="VY4" s="17">
        <f>Curve6P1</f>
        <v>-100</v>
      </c>
      <c r="VZ4" s="17">
        <f>Curve6P2</f>
        <v>-67</v>
      </c>
      <c r="WA4" s="17">
        <f>Curve6P3</f>
        <v>-33</v>
      </c>
      <c r="WB4" s="17">
        <f>Curve6P4</f>
        <v>0</v>
      </c>
      <c r="WC4" s="17">
        <f>Curve6P5</f>
        <v>33</v>
      </c>
      <c r="WD4" s="17">
        <f>Curve6P6</f>
        <v>67</v>
      </c>
      <c r="WE4" s="17">
        <f>Curve6P7</f>
        <v>100</v>
      </c>
      <c r="WF4" s="17" t="str">
        <f>Curve6Source</f>
        <v>None</v>
      </c>
      <c r="WG4" s="17" t="str">
        <f>GUI!D36</f>
        <v>THROTTLE</v>
      </c>
      <c r="WH4" s="17" t="str">
        <f>GUI!E36</f>
        <v>AILERON</v>
      </c>
      <c r="WI4" s="17" t="str">
        <f>GUI!F36</f>
        <v>ELEVATOR</v>
      </c>
      <c r="WJ4" s="17" t="str">
        <f>GUI!G36</f>
        <v>RUDDER</v>
      </c>
      <c r="WK4" s="17" t="str">
        <f>GUI!H36</f>
        <v>GEAR</v>
      </c>
      <c r="WL4" s="17" t="str">
        <f>GUI!I36</f>
        <v>AUX1</v>
      </c>
      <c r="WM4" s="17" t="str">
        <f>GUI!J36</f>
        <v>AUX2</v>
      </c>
      <c r="WN4" s="17" t="str">
        <f>GUI!K36</f>
        <v>AUX3</v>
      </c>
      <c r="WO4" s="26">
        <f>GUI!H171</f>
        <v>0</v>
      </c>
      <c r="WP4" s="26">
        <f>GUI!H172</f>
        <v>0</v>
      </c>
      <c r="WQ4" s="26">
        <f>GUI!H173</f>
        <v>0</v>
      </c>
      <c r="WR4" s="26">
        <f>GUI!H174</f>
        <v>0</v>
      </c>
      <c r="WS4" s="26">
        <f>GUI!H175</f>
        <v>0</v>
      </c>
      <c r="WT4" s="26">
        <f>GUI!H176</f>
        <v>0</v>
      </c>
      <c r="WU4" s="26">
        <f>GUI!H177</f>
        <v>0</v>
      </c>
      <c r="WV4" s="17">
        <v>0</v>
      </c>
      <c r="WW4" s="26">
        <f>GUI!H182</f>
        <v>0</v>
      </c>
      <c r="WX4" s="26">
        <f>GUI!H183</f>
        <v>0</v>
      </c>
      <c r="WY4" s="26">
        <f>GUI!H184</f>
        <v>0</v>
      </c>
      <c r="WZ4" s="26">
        <f>GUI!H185</f>
        <v>0</v>
      </c>
      <c r="XA4" s="26">
        <f>GUI!H186</f>
        <v>0</v>
      </c>
      <c r="XB4" s="26">
        <f>GUI!H187</f>
        <v>0</v>
      </c>
      <c r="XC4" s="26">
        <f>GUI!H188</f>
        <v>0</v>
      </c>
      <c r="XD4" s="17">
        <v>0</v>
      </c>
      <c r="XE4" s="26">
        <f>GUI!H193</f>
        <v>0</v>
      </c>
      <c r="XF4" s="26">
        <f>GUI!H194</f>
        <v>0</v>
      </c>
      <c r="XG4" s="26">
        <f>GUI!H195</f>
        <v>0</v>
      </c>
      <c r="XH4" s="26">
        <f>GUI!H196</f>
        <v>0</v>
      </c>
      <c r="XI4" s="26">
        <f>GUI!H197</f>
        <v>0</v>
      </c>
      <c r="XJ4" s="26">
        <f>GUI!H198</f>
        <v>0</v>
      </c>
      <c r="XK4" s="26">
        <f>GUI!H199</f>
        <v>0</v>
      </c>
      <c r="XL4" s="17">
        <v>0</v>
      </c>
      <c r="XM4" s="26">
        <f>GUI!H204</f>
        <v>0</v>
      </c>
      <c r="XN4" s="26">
        <f>GUI!H205</f>
        <v>0</v>
      </c>
      <c r="XO4" s="26">
        <f>GUI!H206</f>
        <v>0</v>
      </c>
      <c r="XP4" s="26">
        <f>GUI!H207</f>
        <v>0</v>
      </c>
      <c r="XQ4" s="26">
        <f>GUI!H208</f>
        <v>0</v>
      </c>
      <c r="XR4" s="26">
        <f>GUI!H209</f>
        <v>0</v>
      </c>
      <c r="XS4" s="26">
        <f>GUI!H210</f>
        <v>0</v>
      </c>
      <c r="XT4" s="17">
        <v>0</v>
      </c>
      <c r="XU4" s="26">
        <f>GUI!H214</f>
        <v>0</v>
      </c>
      <c r="XV4" s="26">
        <f>GUI!H215</f>
        <v>0</v>
      </c>
      <c r="XW4" s="26">
        <f>GUI!H216</f>
        <v>0</v>
      </c>
      <c r="XX4" s="26">
        <f>GUI!H217</f>
        <v>0</v>
      </c>
      <c r="XY4" s="26">
        <f>GUI!H218</f>
        <v>0</v>
      </c>
      <c r="XZ4" s="26">
        <f>GUI!H219</f>
        <v>0</v>
      </c>
      <c r="YA4" s="26">
        <f>GUI!H220</f>
        <v>0</v>
      </c>
      <c r="YB4" s="17">
        <v>0</v>
      </c>
      <c r="YC4" s="26">
        <f>GUI!H225</f>
        <v>0</v>
      </c>
      <c r="YD4" s="26">
        <f>GUI!H226</f>
        <v>0</v>
      </c>
      <c r="YE4" s="26">
        <f>GUI!H227</f>
        <v>0</v>
      </c>
      <c r="YF4" s="26">
        <f>GUI!H228</f>
        <v>0</v>
      </c>
      <c r="YG4" s="26">
        <f>GUI!H229</f>
        <v>0</v>
      </c>
      <c r="YH4" s="26">
        <f>GUI!H230</f>
        <v>0</v>
      </c>
      <c r="YI4" s="26">
        <f>GUI!H231</f>
        <v>0</v>
      </c>
      <c r="YJ4" s="17">
        <v>0</v>
      </c>
      <c r="YK4" s="26">
        <f>GUI!H235</f>
        <v>0</v>
      </c>
      <c r="YL4" s="26">
        <f>GUI!H236</f>
        <v>0</v>
      </c>
      <c r="YM4" s="26">
        <f>GUI!H237</f>
        <v>0</v>
      </c>
      <c r="YN4" s="26">
        <f>GUI!H238</f>
        <v>0</v>
      </c>
      <c r="YO4" s="26">
        <f>GUI!H239</f>
        <v>0</v>
      </c>
      <c r="YP4" s="26">
        <f>GUI!H240</f>
        <v>0</v>
      </c>
      <c r="YQ4" s="26">
        <f>GUI!H241</f>
        <v>0</v>
      </c>
      <c r="YR4" s="17">
        <v>0</v>
      </c>
      <c r="YS4" s="26">
        <f>GUI!H246</f>
        <v>-100</v>
      </c>
      <c r="YT4" s="26">
        <f>GUI!H247</f>
        <v>-67</v>
      </c>
      <c r="YU4" s="26">
        <f>GUI!H248</f>
        <v>-33</v>
      </c>
      <c r="YV4" s="26">
        <f>GUI!H249</f>
        <v>0</v>
      </c>
      <c r="YW4" s="26">
        <f>GUI!H250</f>
        <v>33</v>
      </c>
      <c r="YX4" s="26">
        <f>GUI!H251</f>
        <v>67</v>
      </c>
      <c r="YY4" s="26">
        <f>GUI!H252</f>
        <v>100</v>
      </c>
      <c r="YZ4" s="17">
        <v>0</v>
      </c>
      <c r="ZA4" s="17"/>
      <c r="ZB4" s="17"/>
      <c r="ZC4" s="17"/>
      <c r="ZD4" s="17"/>
      <c r="ZE4" s="17"/>
      <c r="ZF4" s="17"/>
      <c r="ZG4" s="17"/>
      <c r="ZH4" s="17"/>
      <c r="ZI4" s="17"/>
      <c r="ZJ4" s="17"/>
      <c r="ZK4" s="17"/>
      <c r="ZL4" s="17"/>
      <c r="ZM4" s="17"/>
      <c r="ZN4" s="17"/>
      <c r="ZO4" s="17"/>
      <c r="ZP4" s="17"/>
      <c r="ZQ4" s="17"/>
      <c r="ZR4" s="17"/>
      <c r="ZS4" s="17"/>
      <c r="ZT4" s="17"/>
      <c r="ZU4" s="17"/>
      <c r="ZV4" s="17"/>
      <c r="ZW4" s="17"/>
      <c r="ZX4" s="17"/>
      <c r="ZY4" s="17"/>
      <c r="ZZ4" s="17"/>
      <c r="AAA4" s="17"/>
      <c r="AAB4" s="17"/>
      <c r="AAC4" s="17"/>
      <c r="AAD4" s="17"/>
      <c r="AAE4" s="17"/>
      <c r="AAF4" s="17"/>
      <c r="AAG4" s="17"/>
      <c r="AAH4" s="17"/>
      <c r="AAI4" s="17"/>
      <c r="AAJ4" s="17"/>
      <c r="AAK4" s="17"/>
      <c r="AAL4" s="17"/>
      <c r="AAM4" s="17"/>
      <c r="AAN4" s="17"/>
      <c r="AAO4" s="17"/>
      <c r="AAP4" s="17"/>
      <c r="AAQ4" s="17"/>
      <c r="AAR4" s="17"/>
      <c r="AAS4" s="17"/>
      <c r="AAT4" s="17"/>
      <c r="AAU4" s="17"/>
      <c r="AAV4" s="17"/>
      <c r="AAW4" s="17"/>
      <c r="AAX4" s="17"/>
      <c r="AAY4" s="17"/>
      <c r="AAZ4" s="17"/>
      <c r="ABA4" s="17"/>
      <c r="ABB4" s="17"/>
      <c r="ABC4" s="17"/>
      <c r="ABD4" s="17"/>
      <c r="ABE4" s="17"/>
      <c r="ABF4" s="17"/>
      <c r="ABG4" s="17"/>
      <c r="ABH4" s="17"/>
      <c r="ABI4" s="17"/>
      <c r="ABJ4" s="17"/>
      <c r="ABK4" s="17"/>
      <c r="ABL4" s="17"/>
      <c r="ABM4" s="17"/>
      <c r="ABN4" s="17"/>
      <c r="ABO4" s="17"/>
      <c r="ABP4" s="17"/>
      <c r="ABQ4" s="17"/>
      <c r="ABR4" s="17"/>
      <c r="ABS4" s="17"/>
      <c r="ABT4" s="17"/>
      <c r="ABU4" s="17"/>
      <c r="ABV4" s="17"/>
      <c r="ABW4" s="17"/>
      <c r="ABX4" s="17"/>
      <c r="ABY4" s="17"/>
      <c r="ABZ4" s="17"/>
      <c r="ACA4" s="17"/>
      <c r="ACB4" s="17"/>
      <c r="ACC4" s="17"/>
      <c r="ACD4" s="17"/>
      <c r="ACE4" s="17"/>
      <c r="ACF4" s="17"/>
      <c r="ACG4" s="17"/>
      <c r="ACH4" s="17"/>
      <c r="ACI4" s="17"/>
      <c r="ACJ4" s="17"/>
      <c r="ACK4" s="17"/>
      <c r="ACL4" s="17"/>
      <c r="ACM4" s="17"/>
      <c r="ACN4" s="17"/>
      <c r="ACO4" s="17"/>
      <c r="ACP4" s="17"/>
      <c r="ACQ4" s="17"/>
      <c r="ACR4" s="17"/>
      <c r="ACS4" s="17"/>
      <c r="ACT4" s="17"/>
      <c r="ACU4" s="17"/>
      <c r="ACV4" s="17"/>
      <c r="ACW4" s="17"/>
      <c r="ACX4" s="17"/>
      <c r="ACY4" s="17"/>
      <c r="ACZ4" s="17"/>
      <c r="ADA4" s="17"/>
      <c r="ADB4" s="17"/>
      <c r="ADC4" s="17"/>
      <c r="ADD4" s="17"/>
      <c r="ADE4" s="17"/>
      <c r="ADF4" s="17"/>
      <c r="ADG4" s="17"/>
      <c r="ADH4" s="17"/>
      <c r="ADI4" s="17"/>
      <c r="ADJ4" s="17"/>
      <c r="ADK4" s="17"/>
      <c r="ADL4" s="17"/>
      <c r="ADM4" s="17"/>
      <c r="ADN4" s="17"/>
      <c r="ADO4" s="17"/>
      <c r="ADP4" s="17"/>
      <c r="ADQ4" s="17"/>
      <c r="ADR4" s="17"/>
      <c r="ADS4" s="17"/>
      <c r="ADT4" s="17"/>
      <c r="ADU4" s="17"/>
      <c r="ADV4" s="17"/>
      <c r="ADW4" s="17"/>
      <c r="ADX4" s="17"/>
      <c r="ADY4" s="17"/>
      <c r="ADZ4" s="17"/>
      <c r="AEA4" s="17"/>
      <c r="AEB4" s="17"/>
      <c r="AEC4" s="17"/>
      <c r="AED4" s="17"/>
      <c r="AEE4" s="17"/>
      <c r="AEF4" s="17"/>
      <c r="AEG4" s="17"/>
      <c r="AEH4" s="17"/>
      <c r="AEI4" s="17"/>
      <c r="AEJ4" s="17"/>
      <c r="AEK4" s="17"/>
      <c r="AEL4" s="17"/>
      <c r="AEM4" s="17"/>
      <c r="AEN4" s="17"/>
      <c r="AEO4" s="17"/>
      <c r="AEP4" s="17"/>
      <c r="AEQ4" s="17"/>
      <c r="AER4" s="17"/>
      <c r="AES4" s="17"/>
      <c r="AET4" s="17"/>
      <c r="AEU4" s="17"/>
      <c r="AEV4" s="17"/>
      <c r="AEW4" s="17"/>
      <c r="AEX4" s="17"/>
      <c r="AEY4" s="17"/>
      <c r="AEZ4" s="17"/>
      <c r="AFA4" s="17"/>
      <c r="AFB4" s="17"/>
      <c r="AFC4" s="17"/>
      <c r="AFD4" s="17"/>
      <c r="AFE4" s="17"/>
      <c r="AFF4" s="17"/>
      <c r="AFG4" s="17"/>
      <c r="AFH4" s="17"/>
      <c r="AFI4" s="17"/>
      <c r="AFJ4" s="17"/>
      <c r="AFK4" s="17"/>
      <c r="AFL4" s="17"/>
      <c r="AFM4" s="17"/>
      <c r="AFN4" s="17"/>
      <c r="AFO4" s="17"/>
      <c r="AFP4" s="17"/>
      <c r="AFQ4" s="17"/>
      <c r="AFR4" s="17"/>
      <c r="AFS4" s="17"/>
      <c r="AFT4" s="17"/>
      <c r="AFU4" s="17"/>
      <c r="AFV4" s="17"/>
      <c r="AFW4" s="17"/>
      <c r="AFX4" s="17"/>
      <c r="AFY4" s="17"/>
      <c r="AFZ4" s="17"/>
      <c r="AGA4" s="17"/>
      <c r="AGB4" s="17"/>
      <c r="AGC4" s="17"/>
      <c r="AGD4" s="17"/>
      <c r="AGE4" s="17"/>
      <c r="AGF4" s="17"/>
      <c r="AGG4" s="17"/>
      <c r="AGH4" s="17"/>
      <c r="AGI4" s="17"/>
      <c r="AGJ4" s="17"/>
      <c r="AGK4" s="17"/>
      <c r="AGL4" s="17"/>
      <c r="AGM4" s="17"/>
      <c r="AGN4" s="17"/>
      <c r="AGO4" s="17"/>
      <c r="AGP4" s="17"/>
      <c r="AGQ4" s="17"/>
      <c r="AGR4" s="17"/>
      <c r="AGS4" s="17"/>
      <c r="AGT4" s="17"/>
      <c r="AGU4" s="17"/>
      <c r="AGV4" s="17"/>
      <c r="AGW4" s="17"/>
      <c r="AGX4" s="17"/>
      <c r="AGY4" s="17"/>
      <c r="AGZ4" s="17"/>
      <c r="AHA4" s="17"/>
      <c r="AHB4" s="17"/>
      <c r="AHC4" s="17"/>
      <c r="AHD4" s="17"/>
      <c r="AHE4" s="17"/>
      <c r="AHF4" s="17"/>
      <c r="AHG4" s="17"/>
      <c r="AHH4" s="17"/>
      <c r="AHI4" s="17"/>
      <c r="AHJ4" s="17"/>
      <c r="AHK4" s="17"/>
      <c r="AHL4" s="17"/>
      <c r="AHM4" s="17"/>
      <c r="AHN4" s="17"/>
      <c r="AHO4" s="17"/>
      <c r="AHP4" s="17"/>
      <c r="AHQ4" s="17"/>
      <c r="AHR4" s="17"/>
      <c r="AHS4" s="17"/>
      <c r="AHT4" s="17"/>
      <c r="AHU4" s="17"/>
      <c r="AHV4" s="17"/>
      <c r="AHW4" s="17"/>
      <c r="AHX4" s="17"/>
      <c r="AHY4" s="17"/>
      <c r="AHZ4" s="17"/>
      <c r="AIA4" s="17"/>
      <c r="AIB4" s="17"/>
      <c r="AIC4" s="17"/>
      <c r="AID4" s="17"/>
      <c r="AIE4" s="17"/>
      <c r="AIF4" s="17"/>
      <c r="AIG4" s="17"/>
      <c r="AIH4" s="17"/>
      <c r="AII4" s="17"/>
      <c r="AIJ4" s="17"/>
      <c r="AIK4" s="17"/>
      <c r="AIL4" s="17"/>
      <c r="AIM4" s="17"/>
      <c r="AIN4" s="17"/>
      <c r="AIO4" s="17"/>
      <c r="AIP4" s="17"/>
      <c r="AIQ4" s="17"/>
      <c r="AIR4" s="17"/>
      <c r="AIS4" s="17"/>
      <c r="AIT4" s="17"/>
      <c r="AIU4" s="17"/>
      <c r="AIV4" s="17"/>
      <c r="AIW4" s="17"/>
      <c r="AIX4" s="17"/>
      <c r="AIY4" s="17"/>
      <c r="AIZ4" s="17"/>
      <c r="AJA4" s="17"/>
      <c r="AJB4" s="17"/>
      <c r="AJC4" s="17"/>
      <c r="AJD4" s="17"/>
      <c r="AJE4" s="17"/>
      <c r="AJF4" s="17"/>
      <c r="AJG4" s="17"/>
      <c r="AJH4" s="17"/>
      <c r="AJI4" s="17"/>
      <c r="AJJ4" s="17"/>
      <c r="AJK4" s="17"/>
      <c r="AJL4" s="17"/>
      <c r="AJM4" s="17"/>
      <c r="AJN4" s="17"/>
      <c r="AJO4" s="17"/>
      <c r="AJP4" s="17"/>
      <c r="AJQ4" s="17"/>
      <c r="AJR4" s="17"/>
      <c r="AJS4" s="17"/>
      <c r="AJT4" s="17"/>
      <c r="AJU4" s="17"/>
      <c r="AJV4" s="17"/>
      <c r="AJW4" s="17"/>
      <c r="AJX4" s="17"/>
      <c r="AJY4" s="17"/>
      <c r="AJZ4" s="17"/>
      <c r="AKA4" s="17"/>
      <c r="AKB4" s="17"/>
      <c r="AKC4" s="17"/>
      <c r="AKD4" s="17"/>
      <c r="AKE4" s="17"/>
      <c r="AKF4" s="17"/>
      <c r="AKG4" s="17"/>
      <c r="AKH4" s="17"/>
      <c r="AKI4" s="17"/>
      <c r="AKJ4" s="17"/>
      <c r="AKK4" s="17"/>
      <c r="AKL4" s="17"/>
      <c r="AKM4" s="17"/>
      <c r="AKN4" s="17"/>
      <c r="AKO4" s="17"/>
      <c r="AKP4" s="17"/>
      <c r="AKQ4" s="17"/>
      <c r="AKR4" s="17"/>
      <c r="AKS4" s="17"/>
      <c r="AKT4" s="17"/>
      <c r="AKU4" s="17"/>
      <c r="AKV4" s="17"/>
      <c r="AKW4" s="17"/>
      <c r="AKX4" s="17"/>
      <c r="AKY4" s="17"/>
      <c r="AKZ4" s="17"/>
      <c r="ALA4" s="17"/>
      <c r="ALB4" s="17"/>
      <c r="ALC4" s="17"/>
      <c r="ALD4" s="17"/>
      <c r="ALE4" s="17"/>
      <c r="ALF4" s="17"/>
      <c r="ALG4" s="17"/>
      <c r="ALH4" s="17"/>
      <c r="ALI4" s="17"/>
      <c r="ALJ4" s="17"/>
      <c r="ALK4" s="17"/>
      <c r="ALL4" s="17"/>
      <c r="ALM4" s="17"/>
      <c r="ALN4" s="17"/>
      <c r="ALO4" s="17"/>
      <c r="ALP4" s="17"/>
      <c r="ALQ4" s="17"/>
      <c r="ALR4" s="17"/>
      <c r="ALS4" s="17"/>
      <c r="ALT4" s="17"/>
      <c r="ALU4" s="17"/>
      <c r="ALV4" s="17"/>
      <c r="ALW4" s="17"/>
      <c r="ALX4" s="17"/>
      <c r="ALY4" s="17"/>
      <c r="ALZ4" s="17"/>
      <c r="AMA4" s="17"/>
      <c r="AMB4" s="17"/>
      <c r="AMC4" s="17"/>
      <c r="AMD4" s="17"/>
      <c r="AME4" s="17"/>
      <c r="AMF4" s="17"/>
      <c r="AMG4" s="17"/>
      <c r="AMH4" s="17"/>
      <c r="AMI4" s="17"/>
      <c r="AMJ4" s="17"/>
      <c r="AMK4" s="17"/>
      <c r="AML4" s="17"/>
      <c r="AMM4" s="17"/>
      <c r="AMN4" s="17"/>
      <c r="AMO4" s="17"/>
      <c r="AMP4" s="17"/>
      <c r="AMQ4" s="17"/>
      <c r="AMR4" s="17"/>
      <c r="AMS4" s="17"/>
      <c r="AMT4" s="17"/>
      <c r="AMU4" s="17"/>
      <c r="AMV4" s="17"/>
      <c r="AMW4" s="17"/>
      <c r="AMX4" s="17"/>
      <c r="AMY4" s="17"/>
      <c r="AMZ4" s="17"/>
      <c r="ANA4" s="17"/>
      <c r="ANB4" s="17"/>
      <c r="ANC4" s="17"/>
      <c r="AND4" s="17"/>
      <c r="ANE4" s="17"/>
      <c r="ANF4" s="17"/>
      <c r="ANG4" s="17"/>
      <c r="ANH4" s="17"/>
      <c r="ANI4" s="17"/>
      <c r="ANJ4" s="17"/>
      <c r="ANK4" s="17"/>
      <c r="ANL4" s="17"/>
      <c r="ANM4" s="17"/>
      <c r="ANN4" s="17"/>
      <c r="ANO4" s="17"/>
      <c r="ANP4" s="17"/>
      <c r="ANQ4" s="17"/>
      <c r="ANR4" s="17"/>
      <c r="ANS4" s="17"/>
      <c r="ANT4" s="17"/>
      <c r="ANU4" s="17"/>
      <c r="ANV4" s="17"/>
      <c r="ANW4" s="17"/>
      <c r="ANX4" s="17"/>
      <c r="ANY4" s="17"/>
      <c r="ANZ4" s="17"/>
      <c r="AOA4" s="17"/>
      <c r="AOB4" s="17"/>
      <c r="AOC4" s="17"/>
      <c r="AOD4" s="17"/>
      <c r="AOE4" s="17"/>
      <c r="AOF4" s="17"/>
      <c r="AOG4" s="17"/>
      <c r="AOH4" s="17"/>
      <c r="AOI4" s="17"/>
      <c r="AOJ4" s="17"/>
      <c r="AOK4" s="17"/>
      <c r="AOL4" s="17"/>
      <c r="AOM4" s="17"/>
      <c r="AON4" s="17"/>
      <c r="AOO4" s="17"/>
      <c r="AOP4" s="17"/>
      <c r="AOQ4" s="17"/>
      <c r="AOR4" s="17"/>
      <c r="AOS4" s="17"/>
      <c r="AOT4" s="17"/>
      <c r="AOU4" s="17"/>
      <c r="AOV4" s="17"/>
      <c r="AOW4" s="17"/>
      <c r="AOX4" s="17"/>
      <c r="AOY4" s="17"/>
      <c r="AOZ4" s="17"/>
      <c r="APA4" s="17"/>
      <c r="APB4" s="17"/>
      <c r="APC4" s="17"/>
      <c r="APD4" s="17"/>
      <c r="APE4" s="17"/>
      <c r="APF4" s="17"/>
      <c r="APG4" s="17"/>
      <c r="APH4" s="17"/>
      <c r="API4" s="17"/>
      <c r="APJ4" s="17"/>
      <c r="APK4" s="17"/>
      <c r="APL4" s="17"/>
      <c r="APM4" s="17"/>
      <c r="APN4" s="17"/>
      <c r="APO4" s="17"/>
      <c r="APP4" s="17"/>
      <c r="APQ4" s="17"/>
      <c r="APR4" s="17"/>
      <c r="APS4" s="17"/>
      <c r="APT4" s="17"/>
      <c r="APU4" s="17"/>
      <c r="APV4" s="17"/>
      <c r="APW4" s="17"/>
      <c r="APX4" s="17"/>
      <c r="APY4" s="17"/>
      <c r="APZ4" s="17"/>
      <c r="AQA4" s="17"/>
      <c r="AQB4" s="17"/>
      <c r="AQC4" s="17"/>
      <c r="AQD4" s="17"/>
      <c r="AQE4" s="17"/>
      <c r="AQF4" s="17"/>
      <c r="AQG4" s="17"/>
      <c r="AQH4" s="17"/>
      <c r="AQI4" s="17"/>
      <c r="AQJ4" s="17"/>
      <c r="AQK4" s="17"/>
      <c r="AQL4" s="17"/>
      <c r="AQM4" s="17"/>
      <c r="AQN4" s="17"/>
      <c r="AQO4" s="17"/>
      <c r="AQP4" s="17"/>
      <c r="AQQ4" s="17"/>
      <c r="AQR4" s="17"/>
      <c r="AQS4" s="17"/>
      <c r="AQT4" s="17"/>
      <c r="AQU4" s="17"/>
      <c r="AQV4" s="17"/>
      <c r="AQW4" s="17"/>
      <c r="AQX4" s="17"/>
      <c r="AQY4" s="17"/>
      <c r="AQZ4" s="17"/>
      <c r="ARA4" s="17"/>
      <c r="ARB4" s="17"/>
      <c r="ARC4" s="17"/>
      <c r="ARD4" s="17"/>
      <c r="ARE4" s="17"/>
      <c r="ARF4" s="17"/>
      <c r="ARG4" s="17"/>
      <c r="ARH4" s="17"/>
      <c r="ARI4" s="17"/>
      <c r="ARJ4" s="17"/>
      <c r="ARK4" s="17"/>
      <c r="ARL4" s="17"/>
      <c r="ARM4" s="17"/>
      <c r="ARN4" s="17"/>
      <c r="ARO4" s="17"/>
      <c r="ARP4" s="17"/>
      <c r="ARQ4" s="17"/>
      <c r="ARR4" s="17"/>
      <c r="ARS4" s="17"/>
      <c r="ART4" s="17"/>
      <c r="ARU4" s="17"/>
      <c r="ARV4" s="17"/>
      <c r="ARW4" s="17"/>
      <c r="ARX4" s="17"/>
      <c r="ARY4" s="17"/>
      <c r="ARZ4" s="17"/>
      <c r="ASA4" s="17"/>
      <c r="ASB4" s="17"/>
      <c r="ASC4" s="17"/>
      <c r="ASD4" s="17"/>
      <c r="ASE4" s="17"/>
      <c r="ASF4" s="17"/>
      <c r="ASG4" s="17"/>
      <c r="ASH4" s="17"/>
      <c r="ASI4" s="17"/>
      <c r="ASJ4" s="17"/>
      <c r="ASK4" s="17"/>
      <c r="ASL4" s="17"/>
      <c r="ASM4" s="17"/>
      <c r="ASN4" s="17"/>
      <c r="ASO4" s="17"/>
      <c r="ASP4" s="17"/>
      <c r="ASQ4" s="17"/>
      <c r="ASR4" s="17"/>
      <c r="ASS4" s="17"/>
      <c r="AST4" s="17"/>
      <c r="ASU4" s="17"/>
      <c r="ASV4" s="17"/>
      <c r="ASW4" s="17"/>
      <c r="ASX4" s="17"/>
      <c r="ASY4" s="17"/>
      <c r="ASZ4" s="17"/>
      <c r="ATA4" s="17"/>
      <c r="ATB4" s="17"/>
      <c r="ATC4" s="17"/>
      <c r="ATD4" s="17"/>
      <c r="ATE4" s="17"/>
      <c r="ATF4" s="17"/>
      <c r="ATG4" s="17"/>
      <c r="ATH4" s="17"/>
      <c r="ATI4" s="17"/>
      <c r="ATJ4" s="17"/>
      <c r="ATK4" s="17"/>
      <c r="ATL4" s="17"/>
      <c r="ATM4" s="17"/>
      <c r="ATN4" s="17"/>
      <c r="ATO4" s="17"/>
      <c r="ATP4" s="17"/>
      <c r="ATQ4" s="17"/>
      <c r="ATR4" s="17"/>
      <c r="ATS4" s="17"/>
      <c r="ATT4" s="17"/>
      <c r="ATU4" s="17"/>
      <c r="ATV4" s="17"/>
      <c r="ATW4" s="17"/>
      <c r="ATX4" s="17"/>
      <c r="ATY4" s="17"/>
      <c r="ATZ4" s="17"/>
      <c r="AUA4" s="17"/>
      <c r="AUB4" s="17"/>
      <c r="AUC4" s="17"/>
      <c r="AUD4" s="17"/>
      <c r="AUE4" s="17"/>
      <c r="AUF4" s="17"/>
      <c r="AUG4" s="17"/>
      <c r="AUH4" s="17"/>
      <c r="AUI4" s="17"/>
      <c r="AUJ4" s="17"/>
      <c r="AUK4" s="17"/>
      <c r="AUL4" s="17"/>
      <c r="AUM4" s="17"/>
      <c r="AUN4" s="17"/>
      <c r="AUO4" s="17"/>
      <c r="AUP4" s="17"/>
      <c r="AUQ4" s="17"/>
      <c r="AUR4" s="17"/>
      <c r="AUS4" s="17"/>
      <c r="AUT4" s="17"/>
      <c r="AUU4" s="17"/>
      <c r="AUV4" s="17"/>
      <c r="AUW4" s="17"/>
      <c r="AUX4" s="17"/>
      <c r="AUY4" s="17"/>
      <c r="AUZ4" s="17"/>
      <c r="AVA4" s="17"/>
      <c r="AVB4" s="17"/>
      <c r="AVC4" s="17"/>
      <c r="AVD4" s="17"/>
      <c r="AVE4" s="17"/>
      <c r="AVF4" s="17"/>
      <c r="AVG4" s="17"/>
      <c r="AVH4" s="17"/>
      <c r="AVI4" s="17"/>
      <c r="AVJ4" s="17"/>
      <c r="AVK4" s="17"/>
      <c r="AVL4" s="17"/>
      <c r="AVM4" s="17"/>
      <c r="AVN4" s="17"/>
      <c r="AVO4" s="17"/>
      <c r="AVP4" s="17"/>
      <c r="AVQ4" s="17"/>
      <c r="AVR4" s="17"/>
      <c r="AVS4" s="17"/>
      <c r="AVT4" s="17"/>
      <c r="AVU4" s="17"/>
      <c r="AVV4" s="17"/>
      <c r="AVW4" s="17"/>
      <c r="AVX4" s="17"/>
      <c r="AVY4" s="17"/>
      <c r="AVZ4" s="17"/>
      <c r="AWA4" s="17"/>
      <c r="AWB4" s="17"/>
      <c r="AWC4" s="17"/>
      <c r="AWD4" s="17"/>
      <c r="AWE4" s="17"/>
      <c r="AWF4" s="17"/>
      <c r="AWG4" s="17"/>
      <c r="AWH4" s="17"/>
      <c r="AWI4" s="17"/>
      <c r="AWJ4" s="17"/>
      <c r="AWK4" s="17"/>
      <c r="AWL4" s="17"/>
      <c r="AWM4" s="17"/>
      <c r="AWN4" s="17"/>
      <c r="AWO4" s="17"/>
      <c r="AWP4" s="17"/>
      <c r="AWQ4" s="17"/>
      <c r="AWR4" s="17"/>
      <c r="AWS4" s="17"/>
      <c r="AWT4" s="17"/>
      <c r="AWU4" s="17"/>
      <c r="AWV4" s="17"/>
      <c r="AWW4" s="17"/>
      <c r="AWX4" s="17"/>
      <c r="AWY4" s="17"/>
      <c r="AWZ4" s="17"/>
      <c r="AXA4" s="17"/>
      <c r="AXB4" s="17"/>
      <c r="AXC4" s="17"/>
      <c r="AXD4" s="17"/>
      <c r="AXE4" s="17"/>
      <c r="AXF4" s="17"/>
      <c r="AXG4" s="17"/>
      <c r="AXH4" s="17"/>
      <c r="AXI4" s="17"/>
      <c r="AXJ4" s="17"/>
      <c r="AXK4" s="17"/>
      <c r="AXL4" s="17"/>
      <c r="AXM4" s="17"/>
      <c r="AXN4" s="17"/>
      <c r="AXO4" s="17"/>
      <c r="AXP4" s="17"/>
      <c r="AXQ4" s="17"/>
      <c r="AXR4" s="17"/>
      <c r="AXS4" s="17"/>
      <c r="AXT4" s="17"/>
      <c r="AXU4" s="17"/>
      <c r="AXV4" s="17"/>
      <c r="AXW4" s="17"/>
      <c r="AXX4" s="17"/>
      <c r="AXY4" s="17"/>
      <c r="AXZ4" s="17"/>
      <c r="AYA4" s="17"/>
      <c r="AYB4" s="17"/>
      <c r="AYC4" s="17"/>
      <c r="AYD4" s="17"/>
      <c r="AYE4" s="17"/>
      <c r="AYF4" s="17"/>
      <c r="AYG4" s="17"/>
      <c r="AYH4" s="17"/>
      <c r="AYI4" s="17"/>
      <c r="AYJ4" s="17"/>
      <c r="AYK4" s="17"/>
      <c r="AYL4" s="17"/>
      <c r="AYM4" s="17"/>
      <c r="AYN4" s="17"/>
      <c r="AYO4" s="17"/>
      <c r="AYP4" s="17"/>
      <c r="AYQ4" s="17"/>
      <c r="AYR4" s="17"/>
      <c r="AYS4" s="17"/>
      <c r="AYT4" s="17"/>
      <c r="AYU4" s="17"/>
      <c r="AYV4" s="17"/>
      <c r="AYW4" s="17"/>
      <c r="AYX4" s="17"/>
      <c r="AYY4" s="17"/>
      <c r="AYZ4" s="17"/>
      <c r="AZA4" s="17"/>
      <c r="AZB4" s="17"/>
      <c r="AZC4" s="17"/>
      <c r="AZD4" s="17"/>
      <c r="AZE4" s="17"/>
      <c r="AZF4" s="17"/>
      <c r="AZG4" s="17"/>
      <c r="AZH4" s="17"/>
      <c r="AZI4" s="17"/>
      <c r="AZJ4" s="17"/>
      <c r="AZK4" s="17"/>
      <c r="AZL4" s="17"/>
      <c r="AZM4" s="17"/>
      <c r="AZN4" s="17"/>
      <c r="AZO4" s="17"/>
      <c r="AZP4" s="17"/>
      <c r="AZQ4" s="17"/>
      <c r="AZR4" s="17"/>
      <c r="AZS4" s="17"/>
      <c r="AZT4" s="17"/>
      <c r="AZU4" s="17"/>
      <c r="AZV4" s="17"/>
      <c r="AZW4" s="17"/>
      <c r="AZX4" s="17"/>
      <c r="AZY4" s="17"/>
      <c r="AZZ4" s="17"/>
      <c r="BAA4" s="17"/>
      <c r="BAB4" s="17"/>
      <c r="BAC4" s="17"/>
      <c r="BAD4" s="17"/>
      <c r="BAE4" s="17"/>
      <c r="BAF4" s="17"/>
      <c r="BAG4" s="17"/>
      <c r="BAH4" s="17"/>
      <c r="BAI4" s="17"/>
      <c r="BAJ4" s="17"/>
      <c r="BAK4" s="17"/>
      <c r="BAL4" s="17"/>
      <c r="BAM4" s="17"/>
      <c r="BAN4" s="17"/>
      <c r="BAO4" s="17"/>
      <c r="BAP4" s="17"/>
      <c r="BAQ4" s="17"/>
      <c r="BAR4" s="17"/>
      <c r="BAS4" s="17"/>
      <c r="BAT4" s="17"/>
      <c r="BAU4" s="17"/>
      <c r="BAV4" s="17"/>
      <c r="BAW4" s="17"/>
      <c r="BAX4" s="17"/>
      <c r="BAY4" s="17"/>
      <c r="BAZ4" s="17"/>
      <c r="BBA4" s="17"/>
      <c r="BBB4" s="17"/>
      <c r="BBC4" s="17"/>
      <c r="BBD4" s="17"/>
      <c r="BBE4" s="17"/>
      <c r="BBF4" s="17"/>
      <c r="BBG4" s="17"/>
      <c r="BBH4" s="17"/>
      <c r="BBI4" s="17"/>
      <c r="BBJ4" s="17"/>
      <c r="BBK4" s="17"/>
      <c r="BBL4" s="17"/>
      <c r="BBM4" s="17"/>
      <c r="BBN4" s="17"/>
      <c r="BBO4" s="17"/>
      <c r="BBP4" s="17"/>
      <c r="BBQ4" s="17"/>
      <c r="BBR4" s="17"/>
      <c r="BBS4" s="17"/>
      <c r="BBT4" s="17"/>
      <c r="BBU4" s="17"/>
      <c r="BBV4" s="17"/>
      <c r="BBW4" s="17"/>
      <c r="BBX4" s="17"/>
      <c r="BBY4" s="17"/>
      <c r="BBZ4" s="17"/>
      <c r="BCA4" s="17"/>
      <c r="BCB4" s="17"/>
      <c r="BCC4" s="17"/>
      <c r="BCD4" s="17"/>
      <c r="BCE4" s="17"/>
      <c r="BCF4" s="17"/>
      <c r="BCG4" s="17"/>
      <c r="BCH4" s="17"/>
      <c r="BCI4" s="17"/>
      <c r="BCJ4" s="17"/>
      <c r="BCK4" s="17"/>
      <c r="BCL4" s="17"/>
      <c r="BCM4" s="17"/>
      <c r="BCN4" s="17"/>
      <c r="BCO4" s="17"/>
      <c r="BCP4" s="17"/>
      <c r="BCQ4" s="17"/>
      <c r="BCR4" s="17"/>
      <c r="BCS4" s="17"/>
      <c r="BCT4" s="17"/>
      <c r="BCU4" s="17"/>
      <c r="BCV4" s="17"/>
      <c r="BCW4" s="17"/>
      <c r="BCX4" s="17"/>
      <c r="BCY4" s="17"/>
      <c r="BCZ4" s="17"/>
      <c r="BDA4" s="17"/>
      <c r="BDB4" s="17"/>
      <c r="BDC4" s="17"/>
      <c r="BDD4" s="17"/>
      <c r="BDE4" s="17"/>
      <c r="BDF4" s="17"/>
      <c r="BDG4" s="17"/>
      <c r="BDH4" s="17"/>
      <c r="BDI4" s="17"/>
      <c r="BDJ4" s="17"/>
      <c r="BDK4" s="17"/>
      <c r="BDL4" s="17"/>
      <c r="BDM4" s="17"/>
      <c r="BDN4" s="17"/>
      <c r="BDO4" s="17"/>
      <c r="BDP4" s="17"/>
      <c r="BDQ4" s="17"/>
      <c r="BDR4" s="17"/>
      <c r="BDS4" s="17"/>
      <c r="BDT4" s="17"/>
      <c r="BDU4" s="17"/>
      <c r="BDV4" s="17"/>
      <c r="BDW4" s="17"/>
      <c r="BDX4" s="17"/>
      <c r="BDY4" s="17"/>
      <c r="BDZ4" s="17"/>
      <c r="BEA4" s="17"/>
      <c r="BEB4" s="17"/>
      <c r="BEC4" s="17"/>
      <c r="BED4" s="17"/>
      <c r="BEE4" s="17"/>
      <c r="BEF4" s="17"/>
      <c r="BEG4" s="17"/>
      <c r="BEH4" s="17"/>
      <c r="BEI4" s="17"/>
      <c r="BEJ4" s="17"/>
      <c r="BEK4" s="17"/>
      <c r="BEL4" s="17"/>
      <c r="BEM4" s="17"/>
      <c r="BEN4" s="17"/>
      <c r="BEO4" s="17"/>
      <c r="BEP4" s="17"/>
      <c r="BEQ4" s="17"/>
      <c r="BER4" s="17"/>
      <c r="BES4" s="17"/>
      <c r="BET4" s="17"/>
      <c r="BEU4" s="17"/>
      <c r="BEV4" s="17"/>
      <c r="BEW4" s="17"/>
      <c r="BEX4" s="17"/>
      <c r="BEY4" s="17"/>
      <c r="BEZ4" s="17"/>
      <c r="BFA4" s="17"/>
      <c r="BFB4" s="17"/>
      <c r="BFC4" s="17"/>
      <c r="BFD4" s="17"/>
      <c r="BFE4" s="17"/>
      <c r="BFF4" s="17"/>
      <c r="BFG4" s="17"/>
      <c r="BFH4" s="17"/>
      <c r="BFI4" s="17"/>
      <c r="BFJ4" s="17"/>
      <c r="BFK4" s="17"/>
      <c r="BFL4" s="17"/>
      <c r="BFM4" s="17"/>
      <c r="BFN4" s="17"/>
      <c r="BFO4" s="17"/>
      <c r="BFP4" s="17"/>
      <c r="BFQ4" s="17"/>
      <c r="BFR4" s="17"/>
      <c r="BFS4" s="17"/>
      <c r="BFT4" s="17"/>
      <c r="BFU4" s="17"/>
      <c r="BFV4" s="17"/>
      <c r="BFW4" s="17"/>
      <c r="BFX4" s="17"/>
      <c r="BFY4" s="17"/>
      <c r="BFZ4" s="17"/>
      <c r="BGA4" s="17"/>
      <c r="BGB4" s="17"/>
      <c r="BGC4" s="17"/>
      <c r="BGD4" s="17"/>
      <c r="BGE4" s="17"/>
      <c r="BGF4" s="17"/>
      <c r="BGG4" s="17"/>
      <c r="BGH4" s="17"/>
      <c r="BGI4" s="17"/>
      <c r="BGJ4" s="17"/>
      <c r="BGK4" s="17"/>
      <c r="BGL4" s="17"/>
      <c r="BGM4" s="17"/>
      <c r="BGN4" s="17"/>
      <c r="BGO4" s="17"/>
      <c r="BGP4" s="17"/>
      <c r="BGQ4" s="17"/>
      <c r="BGR4" s="17"/>
      <c r="BGS4" s="17"/>
      <c r="BGT4" s="17"/>
      <c r="BGU4" s="17"/>
      <c r="BGV4" s="17"/>
      <c r="BGW4" s="17"/>
      <c r="BGX4" s="17"/>
      <c r="BGY4" s="17"/>
      <c r="BGZ4" s="17"/>
      <c r="BHA4" s="17"/>
      <c r="BHB4" s="17"/>
      <c r="BHC4" s="17"/>
      <c r="BHD4" s="17"/>
      <c r="BHE4" s="17"/>
      <c r="BHF4" s="17"/>
      <c r="BHG4" s="17"/>
      <c r="BHH4" s="17"/>
      <c r="BHI4" s="17"/>
      <c r="BHJ4" s="17"/>
      <c r="BHK4" s="17"/>
      <c r="BHL4" s="17"/>
      <c r="BHM4" s="17"/>
      <c r="BHN4" s="17"/>
      <c r="BHO4" s="17"/>
      <c r="BHP4" s="17"/>
      <c r="BHQ4" s="17"/>
      <c r="BHR4" s="17"/>
      <c r="BHS4" s="17"/>
      <c r="BHT4" s="17"/>
      <c r="BHU4" s="17"/>
      <c r="BHV4" s="17"/>
      <c r="BHW4" s="17"/>
      <c r="BHX4" s="17"/>
      <c r="BHY4" s="17"/>
      <c r="BHZ4" s="17"/>
      <c r="BIA4" s="17"/>
      <c r="BIB4" s="17"/>
      <c r="BIC4" s="17"/>
      <c r="BID4" s="17"/>
      <c r="BIE4" s="17"/>
      <c r="BIF4" s="17"/>
      <c r="BIG4" s="17"/>
      <c r="BIH4" s="17"/>
      <c r="BII4" s="17"/>
      <c r="BIJ4" s="17"/>
      <c r="BIK4" s="17"/>
      <c r="BIL4" s="17"/>
      <c r="BIM4" s="17"/>
      <c r="BIN4" s="17"/>
      <c r="BIO4" s="17"/>
      <c r="BIP4" s="17"/>
      <c r="BIQ4" s="17"/>
      <c r="BIR4" s="17"/>
      <c r="BIS4" s="17"/>
      <c r="BIT4" s="17"/>
      <c r="BIU4" s="17"/>
      <c r="BIV4" s="17"/>
      <c r="BIW4" s="17"/>
      <c r="BIX4" s="17"/>
      <c r="BIY4" s="17"/>
      <c r="BIZ4" s="17"/>
      <c r="BJA4" s="17"/>
      <c r="BJB4" s="17"/>
      <c r="BJC4" s="17"/>
      <c r="BJD4" s="17"/>
      <c r="BJE4" s="17"/>
      <c r="BJF4" s="17"/>
      <c r="BJG4" s="17"/>
      <c r="BJH4" s="17"/>
      <c r="BJI4" s="17"/>
      <c r="BJJ4" s="17"/>
      <c r="BJK4" s="17"/>
      <c r="BJL4" s="17"/>
      <c r="BJM4" s="17"/>
      <c r="BJN4" s="17"/>
      <c r="BJO4" s="17"/>
      <c r="BJP4" s="17"/>
      <c r="BJQ4" s="17"/>
      <c r="BJR4" s="17"/>
      <c r="BJS4" s="17"/>
      <c r="BJT4" s="17"/>
      <c r="BJU4" s="17"/>
      <c r="BJV4" s="17"/>
      <c r="BJW4" s="17"/>
      <c r="BJX4" s="17"/>
      <c r="BJY4" s="17"/>
      <c r="BJZ4" s="17"/>
      <c r="BKA4" s="17"/>
      <c r="BKB4" s="17"/>
      <c r="BKC4" s="17"/>
      <c r="BKD4" s="17"/>
      <c r="BKE4" s="17"/>
      <c r="BKF4" s="17"/>
      <c r="BKG4" s="17"/>
      <c r="BKH4" s="17"/>
      <c r="BKI4" s="17"/>
      <c r="BKJ4" s="17"/>
      <c r="BKK4" s="17"/>
      <c r="BKL4" s="17"/>
      <c r="BKM4" s="17"/>
      <c r="BKN4" s="17"/>
      <c r="BKO4" s="17"/>
      <c r="BKP4" s="17"/>
      <c r="BKQ4" s="17"/>
      <c r="BKR4" s="17"/>
      <c r="BKS4" s="17"/>
      <c r="BKT4" s="17"/>
      <c r="BKU4" s="17"/>
      <c r="BKV4" s="17"/>
      <c r="BKW4" s="17"/>
      <c r="BKX4" s="17"/>
      <c r="BKY4" s="17"/>
      <c r="BKZ4" s="17"/>
      <c r="BLA4" s="17"/>
      <c r="BLB4" s="17"/>
      <c r="BLC4" s="17"/>
      <c r="BLD4" s="17"/>
      <c r="BLE4" s="17"/>
      <c r="BLF4" s="17"/>
      <c r="BLG4" s="17"/>
      <c r="BLH4" s="17"/>
      <c r="BLI4" s="17"/>
      <c r="BLJ4" s="17"/>
      <c r="BLK4" s="17"/>
      <c r="BLL4" s="17"/>
      <c r="BLM4" s="17"/>
      <c r="BLN4" s="17"/>
      <c r="BLO4" s="17"/>
      <c r="BLP4" s="17"/>
      <c r="BLQ4" s="17"/>
      <c r="BLR4" s="17"/>
      <c r="BLS4" s="17"/>
      <c r="BLT4" s="17"/>
      <c r="BLU4" s="17"/>
      <c r="BLV4" s="17"/>
      <c r="BLW4" s="17"/>
      <c r="BLX4" s="17"/>
      <c r="BLY4" s="17"/>
      <c r="BLZ4" s="17"/>
      <c r="BMA4" s="17"/>
      <c r="BMB4" s="17"/>
      <c r="BMC4" s="17"/>
      <c r="BMD4" s="17"/>
      <c r="BME4" s="17"/>
      <c r="BMF4" s="17"/>
      <c r="BMG4" s="17"/>
      <c r="BMH4" s="17"/>
      <c r="BMI4" s="17"/>
      <c r="BMJ4" s="17"/>
      <c r="BMK4" s="17"/>
      <c r="BML4" s="17"/>
      <c r="BMM4" s="17"/>
      <c r="BMN4" s="17"/>
      <c r="BMO4" s="17"/>
      <c r="BMP4" s="17"/>
      <c r="BMQ4" s="17"/>
      <c r="BMR4" s="17"/>
      <c r="BMS4" s="17"/>
      <c r="BMT4" s="17"/>
      <c r="BMU4" s="17"/>
      <c r="BMV4" s="17"/>
      <c r="BMW4" s="17"/>
      <c r="BMX4" s="17"/>
      <c r="BMY4" s="17"/>
      <c r="BMZ4" s="17"/>
      <c r="BNA4" s="17"/>
      <c r="BNB4" s="17"/>
      <c r="BNC4" s="17"/>
      <c r="BND4" s="17"/>
      <c r="BNE4" s="17"/>
      <c r="BNF4" s="17"/>
      <c r="BNG4" s="17"/>
      <c r="BNH4" s="17"/>
      <c r="BNI4" s="17"/>
      <c r="BNJ4" s="17"/>
      <c r="BNK4" s="17"/>
      <c r="BNL4" s="17"/>
      <c r="BNM4" s="17"/>
      <c r="BNN4" s="17"/>
      <c r="BNO4" s="17"/>
      <c r="BNP4" s="17"/>
      <c r="BNQ4" s="17"/>
      <c r="BNR4" s="17"/>
      <c r="BNS4" s="17"/>
      <c r="BNT4" s="17"/>
      <c r="BNU4" s="17"/>
      <c r="BNV4" s="17"/>
      <c r="BNW4" s="17"/>
      <c r="BNX4" s="17"/>
      <c r="BNY4" s="17"/>
      <c r="BNZ4" s="17"/>
      <c r="BOA4" s="17"/>
      <c r="BOB4" s="17"/>
      <c r="BOC4" s="17"/>
      <c r="BOD4" s="17"/>
      <c r="BOE4" s="17"/>
      <c r="BOF4" s="17"/>
      <c r="BOG4" s="17"/>
      <c r="BOH4" s="17"/>
      <c r="BOI4" s="17"/>
      <c r="BOJ4" s="17"/>
      <c r="BOK4" s="17"/>
      <c r="BOL4" s="17"/>
      <c r="BOM4" s="17"/>
      <c r="BON4" s="17"/>
      <c r="BOO4" s="17"/>
      <c r="BOP4" s="17"/>
      <c r="BOQ4" s="17"/>
      <c r="BOR4" s="17"/>
      <c r="BOS4" s="17"/>
      <c r="BOT4" s="17"/>
      <c r="BOU4" s="17"/>
      <c r="BOV4" s="17"/>
      <c r="BOW4" s="17"/>
      <c r="BOX4" s="17"/>
      <c r="BOY4" s="17"/>
      <c r="BOZ4" s="17"/>
      <c r="BPA4" s="17"/>
      <c r="BPB4" s="17"/>
      <c r="BPC4" s="17"/>
      <c r="BPD4" s="17"/>
      <c r="BPE4" s="17"/>
      <c r="BPF4" s="17"/>
      <c r="BPG4" s="17"/>
      <c r="BPH4" s="17"/>
      <c r="BPI4" s="17"/>
      <c r="BPJ4" s="17"/>
      <c r="BPK4" s="17"/>
      <c r="BPL4" s="17"/>
      <c r="BPM4" s="17"/>
      <c r="BPN4" s="17"/>
      <c r="BPO4" s="17"/>
      <c r="BPP4" s="17"/>
      <c r="BPQ4" s="17"/>
      <c r="BPR4" s="17"/>
      <c r="BPS4" s="17"/>
      <c r="BPT4" s="17"/>
      <c r="BPU4" s="17"/>
      <c r="BPV4" s="17"/>
      <c r="BPW4" s="17"/>
      <c r="BPX4" s="17"/>
      <c r="BPY4" s="17"/>
      <c r="BPZ4" s="17"/>
      <c r="BQA4" s="17"/>
      <c r="BQB4" s="17"/>
      <c r="BQC4" s="17"/>
      <c r="BQD4" s="17"/>
      <c r="BQE4" s="17"/>
      <c r="BQF4" s="17"/>
      <c r="BQG4" s="17"/>
      <c r="BQH4" s="17"/>
      <c r="BQI4" s="17"/>
      <c r="BQJ4" s="17"/>
      <c r="BQK4" s="17"/>
      <c r="BQL4" s="17"/>
      <c r="BQM4" s="17"/>
      <c r="BQN4" s="17"/>
      <c r="BQO4" s="17"/>
      <c r="BQP4" s="17"/>
      <c r="BQQ4" s="17"/>
      <c r="BQR4" s="17"/>
      <c r="BQS4" s="17"/>
      <c r="BQT4" s="17"/>
      <c r="BQU4" s="17"/>
      <c r="BQV4" s="17"/>
      <c r="BQW4" s="17"/>
      <c r="BQX4" s="17"/>
      <c r="BQY4" s="17"/>
      <c r="BQZ4" s="17"/>
      <c r="BRA4" s="17"/>
      <c r="BRB4" s="17"/>
      <c r="BRC4" s="17"/>
      <c r="BRD4" s="17"/>
      <c r="BRE4" s="17"/>
      <c r="BRF4" s="17"/>
      <c r="BRG4" s="17"/>
      <c r="BRH4" s="17"/>
      <c r="BRI4" s="17"/>
      <c r="BRJ4" s="17"/>
      <c r="BRK4" s="17"/>
      <c r="BRL4" s="17"/>
      <c r="BRM4" s="17"/>
      <c r="BRN4" s="17"/>
      <c r="BRO4" s="17"/>
      <c r="BRP4" s="17"/>
      <c r="BRQ4" s="17"/>
      <c r="BRR4" s="17"/>
      <c r="BRS4" s="17"/>
      <c r="BRT4" s="17"/>
      <c r="BRU4" s="17"/>
      <c r="BRV4" s="17"/>
      <c r="BRW4" s="17"/>
      <c r="BRX4" s="17"/>
      <c r="BRY4" s="17"/>
      <c r="BRZ4" s="17"/>
      <c r="BSA4" s="17"/>
      <c r="BSB4" s="17"/>
      <c r="BSC4" s="17"/>
      <c r="BSD4" s="17"/>
      <c r="BSE4" s="17"/>
      <c r="BSF4" s="17"/>
      <c r="BSG4" s="17"/>
      <c r="BSH4" s="17"/>
      <c r="BSI4" s="17"/>
      <c r="BSJ4" s="17"/>
      <c r="BSK4" s="17"/>
      <c r="BSL4" s="17"/>
      <c r="BSM4" s="17"/>
      <c r="BSN4" s="17"/>
      <c r="BSO4" s="17"/>
      <c r="BSP4" s="17"/>
      <c r="BSQ4" s="17"/>
      <c r="BSR4" s="17"/>
      <c r="BSS4" s="17"/>
      <c r="BST4" s="17"/>
      <c r="BSU4" s="17"/>
      <c r="BSV4" s="17"/>
      <c r="BSW4" s="17"/>
      <c r="BSX4" s="17"/>
      <c r="BSY4" s="17"/>
      <c r="BSZ4" s="17"/>
      <c r="BTA4" s="17"/>
      <c r="BTB4" s="17"/>
      <c r="BTC4" s="17"/>
      <c r="BTD4" s="17"/>
      <c r="BTE4" s="17"/>
      <c r="BTF4" s="17"/>
      <c r="BTG4" s="17"/>
      <c r="BTH4" s="17"/>
      <c r="BTI4" s="17"/>
      <c r="BTJ4" s="17"/>
      <c r="BTK4" s="17"/>
      <c r="BTL4" s="17"/>
      <c r="BTM4" s="17"/>
      <c r="BTN4" s="17"/>
      <c r="BTO4" s="17"/>
      <c r="BTP4" s="17"/>
      <c r="BTQ4" s="17"/>
      <c r="BTR4" s="17"/>
      <c r="BTS4" s="17"/>
      <c r="BTT4" s="17"/>
      <c r="BTU4" s="17"/>
      <c r="BTV4" s="17"/>
      <c r="BTW4" s="17"/>
      <c r="BTX4" s="17"/>
      <c r="BTY4" s="17"/>
      <c r="BTZ4" s="17"/>
      <c r="BUA4" s="17"/>
      <c r="BUB4" s="17"/>
      <c r="BUC4" s="17"/>
      <c r="BUD4" s="17"/>
      <c r="BUE4" s="17"/>
      <c r="BUF4" s="17"/>
      <c r="BUG4" s="17"/>
      <c r="BUH4" s="17"/>
      <c r="BUI4" s="17"/>
      <c r="BUJ4" s="17"/>
      <c r="BUK4" s="17"/>
      <c r="BUL4" s="17"/>
      <c r="BUM4" s="17"/>
      <c r="BUN4" s="17"/>
      <c r="BUO4" s="17"/>
      <c r="BUP4" s="17"/>
      <c r="BUQ4" s="17"/>
      <c r="BUR4" s="17"/>
      <c r="BUS4" s="17"/>
      <c r="BUT4" s="17"/>
      <c r="BUU4" s="17"/>
      <c r="BUV4" s="17"/>
      <c r="BUW4" s="17"/>
      <c r="BUX4" s="17"/>
      <c r="BUY4" s="17"/>
      <c r="BUZ4" s="17"/>
      <c r="BVA4" s="17"/>
      <c r="BVB4" s="17"/>
      <c r="BVC4" s="17"/>
      <c r="BVD4" s="17"/>
      <c r="BVE4" s="17"/>
      <c r="BVF4" s="17"/>
      <c r="BVG4" s="17"/>
      <c r="BVH4" s="17"/>
      <c r="BVI4" s="17"/>
      <c r="BVJ4" s="17"/>
      <c r="BVK4" s="17"/>
      <c r="BVL4" s="17"/>
      <c r="BVM4" s="17"/>
      <c r="BVN4" s="17"/>
      <c r="BVO4" s="17"/>
      <c r="BVP4" s="17"/>
      <c r="BVQ4" s="17"/>
      <c r="BVR4" s="17"/>
      <c r="BVS4" s="17"/>
      <c r="BVT4" s="17"/>
      <c r="BVU4" s="17"/>
      <c r="BVV4" s="17"/>
      <c r="BVW4" s="17"/>
      <c r="BVX4" s="17"/>
      <c r="BVY4" s="17"/>
      <c r="BVZ4" s="17"/>
      <c r="BWA4" s="17"/>
      <c r="BWB4" s="17"/>
      <c r="BWC4" s="17"/>
      <c r="BWD4" s="17"/>
      <c r="BWE4" s="17"/>
      <c r="BWF4" s="17"/>
      <c r="BWG4" s="17"/>
      <c r="BWH4" s="17"/>
      <c r="BWI4" s="17"/>
      <c r="BWJ4" s="17"/>
      <c r="BWK4" s="17"/>
      <c r="BWL4" s="17"/>
      <c r="BWM4" s="17"/>
      <c r="BWN4" s="17"/>
      <c r="BWO4" s="17"/>
      <c r="BWP4" s="17"/>
      <c r="BWQ4" s="17"/>
      <c r="BWR4" s="17"/>
      <c r="BWS4" s="17"/>
      <c r="BWT4" s="17"/>
      <c r="BWU4" s="17"/>
      <c r="BWV4" s="17"/>
      <c r="BWW4" s="17"/>
      <c r="BWX4" s="17"/>
      <c r="BWY4" s="17"/>
      <c r="BWZ4" s="17"/>
      <c r="BXA4" s="17"/>
      <c r="BXB4" s="17"/>
      <c r="BXC4" s="17"/>
      <c r="BXD4" s="17"/>
      <c r="BXE4" s="17"/>
      <c r="BXF4" s="17"/>
      <c r="BXG4" s="17"/>
      <c r="BXH4" s="17"/>
      <c r="BXI4" s="17"/>
      <c r="BXJ4" s="17"/>
      <c r="BXK4" s="17"/>
      <c r="BXL4" s="17"/>
      <c r="BXM4" s="17"/>
      <c r="BXN4" s="17"/>
      <c r="BXO4" s="17"/>
      <c r="BXP4" s="17"/>
      <c r="BXQ4" s="17"/>
      <c r="BXR4" s="17"/>
      <c r="BXS4" s="17"/>
      <c r="BXT4" s="17"/>
      <c r="BXU4" s="17"/>
      <c r="BXV4" s="17"/>
      <c r="BXW4" s="17"/>
      <c r="BXX4" s="17"/>
      <c r="BXY4" s="17"/>
      <c r="BXZ4" s="17"/>
      <c r="BYA4" s="17"/>
      <c r="BYB4" s="17"/>
      <c r="BYC4" s="17"/>
      <c r="BYD4" s="17"/>
      <c r="BYE4" s="17"/>
      <c r="BYF4" s="17"/>
      <c r="BYG4" s="17"/>
      <c r="BYH4" s="17"/>
      <c r="BYI4" s="17"/>
      <c r="BYJ4" s="17"/>
      <c r="BYK4" s="17"/>
      <c r="BYL4" s="17"/>
      <c r="BYM4" s="17"/>
      <c r="BYN4" s="17"/>
      <c r="BYO4" s="17"/>
      <c r="BYP4" s="17"/>
      <c r="BYQ4" s="17"/>
      <c r="BYR4" s="17"/>
      <c r="BYS4" s="17"/>
      <c r="BYT4" s="17"/>
      <c r="BYU4" s="17"/>
      <c r="BYV4" s="17"/>
      <c r="BYW4" s="17"/>
      <c r="BYX4" s="17"/>
      <c r="BYY4" s="17"/>
      <c r="BYZ4" s="17"/>
      <c r="BZA4" s="17"/>
      <c r="BZB4" s="17"/>
      <c r="BZC4" s="17"/>
      <c r="BZD4" s="17"/>
      <c r="BZE4" s="17"/>
      <c r="BZF4" s="17"/>
      <c r="BZG4" s="17"/>
      <c r="BZH4" s="17"/>
      <c r="BZI4" s="17"/>
      <c r="BZJ4" s="17"/>
      <c r="BZK4" s="17"/>
      <c r="BZL4" s="17"/>
      <c r="BZM4" s="17"/>
      <c r="BZN4" s="17"/>
      <c r="BZO4" s="17"/>
      <c r="BZP4" s="17"/>
      <c r="BZQ4" s="17"/>
      <c r="BZR4" s="17"/>
      <c r="BZS4" s="17"/>
      <c r="BZT4" s="17"/>
      <c r="BZU4" s="18"/>
    </row>
    <row r="5" spans="1:2049" outlineLevel="1" x14ac:dyDescent="0.3">
      <c r="A5" s="29" t="s">
        <v>176</v>
      </c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>
        <f>VLOOKUP(AQ4,Data_lists!F2:G8,2,FALSE)</f>
        <v>6</v>
      </c>
      <c r="AR5" s="10">
        <f>VLOOKUP(AR4,Data_lists!I2:J4,2,FALSE)</f>
        <v>2</v>
      </c>
      <c r="AS5" s="10">
        <f>VLOOKUP(AS4,Data_lists!C2:D9,2,FALSE)</f>
        <v>4</v>
      </c>
      <c r="AT5" s="10">
        <f>VLOOKUP(AT4,Data_lists!O2:P5,2,FALSE)</f>
        <v>0</v>
      </c>
      <c r="AU5" s="10">
        <f>VLOOKUP(AU4,Data_lists!C2:D9,2,FALSE)</f>
        <v>4</v>
      </c>
      <c r="AV5" s="10">
        <f>AV4</f>
        <v>0</v>
      </c>
      <c r="AW5" s="10">
        <f>AW4</f>
        <v>0</v>
      </c>
      <c r="AX5" s="10">
        <f>AX4</f>
        <v>0</v>
      </c>
      <c r="AY5" s="10">
        <f>AY4</f>
        <v>50</v>
      </c>
      <c r="AZ5" s="10">
        <f>AZ4</f>
        <v>100</v>
      </c>
      <c r="BA5" s="10">
        <f>VLOOKUP(BA4,Data_lists!L2:M3,2,FALSE)</f>
        <v>0</v>
      </c>
      <c r="BB5" s="10">
        <f>BB4</f>
        <v>20</v>
      </c>
      <c r="BC5" s="10">
        <f>BC4</f>
        <v>40</v>
      </c>
      <c r="BD5" s="10">
        <f t="shared" ref="BD5:CP5" si="16">BD4</f>
        <v>10</v>
      </c>
      <c r="BE5" s="10">
        <f t="shared" si="16"/>
        <v>10</v>
      </c>
      <c r="BF5" s="10">
        <f t="shared" si="16"/>
        <v>2</v>
      </c>
      <c r="BG5" s="10">
        <f t="shared" si="16"/>
        <v>10</v>
      </c>
      <c r="BH5" s="10">
        <f t="shared" si="16"/>
        <v>0</v>
      </c>
      <c r="BI5" s="10">
        <f t="shared" si="16"/>
        <v>40</v>
      </c>
      <c r="BJ5" s="10">
        <f t="shared" si="16"/>
        <v>10</v>
      </c>
      <c r="BK5" s="10">
        <f t="shared" si="16"/>
        <v>10</v>
      </c>
      <c r="BL5" s="10">
        <f t="shared" si="16"/>
        <v>2</v>
      </c>
      <c r="BM5" s="10">
        <f t="shared" si="16"/>
        <v>10</v>
      </c>
      <c r="BN5" s="10">
        <f t="shared" si="16"/>
        <v>0</v>
      </c>
      <c r="BO5" s="10">
        <f t="shared" si="16"/>
        <v>60</v>
      </c>
      <c r="BP5" s="10">
        <f t="shared" si="16"/>
        <v>40</v>
      </c>
      <c r="BQ5" s="10">
        <f t="shared" si="16"/>
        <v>25</v>
      </c>
      <c r="BR5" s="10">
        <f t="shared" si="16"/>
        <v>2</v>
      </c>
      <c r="BS5" s="10">
        <f t="shared" si="16"/>
        <v>0</v>
      </c>
      <c r="BT5" s="10">
        <f t="shared" si="16"/>
        <v>40</v>
      </c>
      <c r="BU5" s="10">
        <f t="shared" si="16"/>
        <v>20</v>
      </c>
      <c r="BV5" s="10">
        <f t="shared" si="16"/>
        <v>10</v>
      </c>
      <c r="BW5" s="10">
        <f t="shared" si="16"/>
        <v>40</v>
      </c>
      <c r="BX5" s="10">
        <f t="shared" si="16"/>
        <v>19</v>
      </c>
      <c r="BY5" s="10">
        <f t="shared" si="16"/>
        <v>14</v>
      </c>
      <c r="BZ5" s="10">
        <f t="shared" si="16"/>
        <v>3</v>
      </c>
      <c r="CA5" s="10">
        <f t="shared" si="16"/>
        <v>1</v>
      </c>
      <c r="CB5" s="10">
        <f t="shared" si="16"/>
        <v>0</v>
      </c>
      <c r="CC5" s="10">
        <f t="shared" si="16"/>
        <v>40</v>
      </c>
      <c r="CD5" s="10">
        <f t="shared" si="16"/>
        <v>19</v>
      </c>
      <c r="CE5" s="10">
        <f t="shared" si="16"/>
        <v>14</v>
      </c>
      <c r="CF5" s="10">
        <f t="shared" si="16"/>
        <v>3</v>
      </c>
      <c r="CG5" s="10">
        <f t="shared" si="16"/>
        <v>1</v>
      </c>
      <c r="CH5" s="10">
        <f t="shared" si="16"/>
        <v>0</v>
      </c>
      <c r="CI5" s="10">
        <f t="shared" si="16"/>
        <v>60</v>
      </c>
      <c r="CJ5" s="10">
        <f t="shared" si="16"/>
        <v>40</v>
      </c>
      <c r="CK5" s="10">
        <f t="shared" si="16"/>
        <v>25</v>
      </c>
      <c r="CL5" s="10">
        <f t="shared" si="16"/>
        <v>2</v>
      </c>
      <c r="CM5" s="10">
        <f t="shared" si="16"/>
        <v>0</v>
      </c>
      <c r="CN5" s="10">
        <f t="shared" si="16"/>
        <v>0</v>
      </c>
      <c r="CO5" s="10">
        <f t="shared" si="16"/>
        <v>0</v>
      </c>
      <c r="CP5" s="10">
        <f t="shared" si="16"/>
        <v>0</v>
      </c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>
        <f>VLOOKUP(FE4,Data_lists!C23:D46,2,FALSE)</f>
        <v>0</v>
      </c>
      <c r="FF5" s="10">
        <f>VLOOKUP(FF4,Data_lists!F23:G25,2,FALSE)</f>
        <v>0</v>
      </c>
      <c r="FG5" s="10">
        <f>FG4</f>
        <v>36</v>
      </c>
      <c r="FH5" s="10">
        <f>VLOOKUP(FH4,Data_lists!F28:G29,2,FALSE)</f>
        <v>1</v>
      </c>
      <c r="FI5" s="10">
        <f>FI4</f>
        <v>30</v>
      </c>
      <c r="FJ5" s="10">
        <f>VLOOKUP(FJ4,Data_lists!F32:G40,2,FALSE)</f>
        <v>0</v>
      </c>
      <c r="FK5" s="10">
        <f>VLOOKUP(FK4,Data_lists!I23:J30,2,FALSE)</f>
        <v>3</v>
      </c>
      <c r="FL5" s="10">
        <f>VLOOKUP(FL4,Data_lists!I23:J30,2,FALSE)</f>
        <v>2</v>
      </c>
      <c r="FM5" s="10">
        <f>VLOOKUP(FM4,Data_lists!I23:J30,2,FALSE)</f>
        <v>7</v>
      </c>
      <c r="FN5" s="10">
        <f>FN4</f>
        <v>6</v>
      </c>
      <c r="FO5" s="10">
        <f>VLOOKUP(FO4,Data_lists!I33:J37,2,FALSE)</f>
        <v>4</v>
      </c>
      <c r="FP5" s="17">
        <f>VLOOKUP(FP4,Data_lists!L2:M3,2,FALSE)</f>
        <v>1</v>
      </c>
      <c r="FQ5" s="10">
        <f>FQ4</f>
        <v>0</v>
      </c>
      <c r="FR5" s="10">
        <f>FR4</f>
        <v>0</v>
      </c>
      <c r="FS5" s="10">
        <f>FS4</f>
        <v>0</v>
      </c>
      <c r="FT5" s="10">
        <f>FT4</f>
        <v>0</v>
      </c>
      <c r="FU5" s="10">
        <f>VLOOKUP(FU4,Data_lists!F10:G12,2,FALSE)</f>
        <v>2</v>
      </c>
      <c r="FV5" s="10">
        <f>FV4</f>
        <v>100</v>
      </c>
      <c r="FW5" s="10">
        <f>FW4</f>
        <v>100</v>
      </c>
      <c r="FX5" s="10">
        <f>VLOOKUP(FX4,Data_lists!I10:J12,2,FALSE)</f>
        <v>0</v>
      </c>
      <c r="FY5" s="10">
        <f t="shared" ref="FY5:GD5" si="17">IF(FY4&lt;0,(256+FY4),FY4)</f>
        <v>15</v>
      </c>
      <c r="FZ5" s="10">
        <f t="shared" si="17"/>
        <v>20</v>
      </c>
      <c r="GA5" s="10">
        <f t="shared" si="17"/>
        <v>241</v>
      </c>
      <c r="GB5" s="10">
        <f t="shared" si="17"/>
        <v>236</v>
      </c>
      <c r="GC5" s="10">
        <f t="shared" si="17"/>
        <v>216</v>
      </c>
      <c r="GD5" s="10">
        <f t="shared" si="17"/>
        <v>206</v>
      </c>
      <c r="GE5" s="10">
        <f>VLOOKUP(GE4,Data_lists!L2:M4,2,FALSE)</f>
        <v>1</v>
      </c>
      <c r="GF5" s="10">
        <f>VLOOKUP(GF4,Data_lists!L2:M4,2,FALSE)</f>
        <v>1</v>
      </c>
      <c r="GG5" s="10">
        <f>VLOOKUP(GG4,Data_lists!L2:M4,2,FALSE)</f>
        <v>1</v>
      </c>
      <c r="GH5" s="10">
        <f>VLOOKUP(GH4,Data_lists!L2:M4,2,FALSE)</f>
        <v>1</v>
      </c>
      <c r="GI5" s="10">
        <f>VLOOKUP(GI4,Data_lists!L2:M4,2,FALSE)</f>
        <v>1</v>
      </c>
      <c r="GJ5" s="10">
        <f>VLOOKUP(GJ4,Data_lists!L2:M4,2,FALSE)</f>
        <v>1</v>
      </c>
      <c r="GK5" s="10">
        <f>VLOOKUP(GK4,Data_lists!L2:M4,2,FALSE)</f>
        <v>1</v>
      </c>
      <c r="GL5" s="10">
        <f>VLOOKUP(GL4,Data_lists!L2:M4,2,FALSE)</f>
        <v>1</v>
      </c>
      <c r="GM5" s="10">
        <f>VLOOKUP(GM4,Data_lists!L2:M4,2,FALSE)</f>
        <v>1</v>
      </c>
      <c r="GN5" s="10">
        <f>VLOOKUP(GN4,Data_lists!L2:M4,2,FALSE)</f>
        <v>1</v>
      </c>
      <c r="GO5" s="10">
        <f>VLOOKUP(GO4,Data_lists!L2:M4,2,FALSE)</f>
        <v>1</v>
      </c>
      <c r="GP5" s="10">
        <f>VLOOKUP(GP4,Data_lists!L2:M4,2,FALSE)</f>
        <v>1</v>
      </c>
      <c r="GQ5" s="10">
        <f>VLOOKUP(GQ4,Data_lists!L23:M43,2,FALSE)</f>
        <v>20</v>
      </c>
      <c r="GR5" s="10">
        <f>IF(GR4&lt;0,(256+GR4),GR4)</f>
        <v>0</v>
      </c>
      <c r="GS5" s="10">
        <f>VLOOKUP(GS4,Data_lists!L23:M43,2,FALSE)</f>
        <v>20</v>
      </c>
      <c r="GT5" s="10">
        <f>IF(GT4&lt;0,(256+GT4),GT4)</f>
        <v>0</v>
      </c>
      <c r="GU5" s="10">
        <f>VLOOKUP(GU4,Data_lists!L23:M43,2,FALSE)</f>
        <v>20</v>
      </c>
      <c r="GV5" s="10">
        <f>IF(GV4&lt;0,(256+GV4),GV4)</f>
        <v>0</v>
      </c>
      <c r="GW5" s="10">
        <f>VLOOKUP(GW4,Data_lists!L23:M43,2,FALSE)</f>
        <v>20</v>
      </c>
      <c r="GX5" s="10">
        <f>IF(GX4&lt;0,(256+GX4),GX4)</f>
        <v>0</v>
      </c>
      <c r="GY5" s="10">
        <f>GY4</f>
        <v>0</v>
      </c>
      <c r="GZ5" s="10">
        <f>GZ4</f>
        <v>0</v>
      </c>
      <c r="HA5" s="10">
        <f>HA4</f>
        <v>0</v>
      </c>
      <c r="HB5" s="10">
        <f>HB4</f>
        <v>0</v>
      </c>
      <c r="HC5" s="10">
        <f>VLOOKUP(HC4,Data_lists!F10:G12,2,FALSE)</f>
        <v>2</v>
      </c>
      <c r="HD5" s="10">
        <f>HD4</f>
        <v>100</v>
      </c>
      <c r="HE5" s="10">
        <f>HE4</f>
        <v>100</v>
      </c>
      <c r="HF5" s="10">
        <f>VLOOKUP(HF4,Data_lists!I10:J12,2,FALSE)</f>
        <v>0</v>
      </c>
      <c r="HG5" s="10">
        <f t="shared" ref="HG5:HL5" si="18">IF(HG4&lt;0,(256+HG4),HG4)</f>
        <v>241</v>
      </c>
      <c r="HH5" s="10">
        <f t="shared" si="18"/>
        <v>236</v>
      </c>
      <c r="HI5" s="10">
        <f t="shared" si="18"/>
        <v>241</v>
      </c>
      <c r="HJ5" s="10">
        <f t="shared" si="18"/>
        <v>236</v>
      </c>
      <c r="HK5" s="10">
        <f t="shared" si="18"/>
        <v>40</v>
      </c>
      <c r="HL5" s="10">
        <f t="shared" si="18"/>
        <v>50</v>
      </c>
      <c r="HM5" s="10">
        <f>VLOOKUP(HM4,Data_lists!L2:M4,2,FALSE)</f>
        <v>1</v>
      </c>
      <c r="HN5" s="10">
        <f>VLOOKUP(HN4,Data_lists!L2:M4,2,FALSE)</f>
        <v>1</v>
      </c>
      <c r="HO5" s="10">
        <f>VLOOKUP(HO4,Data_lists!L2:M4,2,FALSE)</f>
        <v>1</v>
      </c>
      <c r="HP5" s="10">
        <f>VLOOKUP(HP4,Data_lists!L2:M4,2,FALSE)</f>
        <v>1</v>
      </c>
      <c r="HQ5" s="10">
        <f>VLOOKUP(HQ4,Data_lists!L2:M4,2,FALSE)</f>
        <v>1</v>
      </c>
      <c r="HR5" s="10">
        <f>VLOOKUP(HR4,Data_lists!L2:M4,2,FALSE)</f>
        <v>1</v>
      </c>
      <c r="HS5" s="10">
        <f>VLOOKUP(HS4,Data_lists!L2:M4,2,FALSE)</f>
        <v>1</v>
      </c>
      <c r="HT5" s="10">
        <f>VLOOKUP(HT4,Data_lists!L2:M4,2,FALSE)</f>
        <v>1</v>
      </c>
      <c r="HU5" s="10">
        <f>VLOOKUP(HU4,Data_lists!L2:M4,2,FALSE)</f>
        <v>1</v>
      </c>
      <c r="HV5" s="10">
        <f>VLOOKUP(HV4,Data_lists!L2:M4,2,FALSE)</f>
        <v>1</v>
      </c>
      <c r="HW5" s="10">
        <f>VLOOKUP(HW4,Data_lists!L2:M4,2,FALSE)</f>
        <v>1</v>
      </c>
      <c r="HX5" s="10">
        <f>VLOOKUP(HX4,Data_lists!L2:M4,2,FALSE)</f>
        <v>1</v>
      </c>
      <c r="HY5" s="10">
        <f>VLOOKUP(HY4,Data_lists!L23:M43,2,FALSE)</f>
        <v>20</v>
      </c>
      <c r="HZ5" s="10">
        <f>IF(HZ4&lt;0,(256+HZ4),HZ4)</f>
        <v>0</v>
      </c>
      <c r="IA5" s="10">
        <f>VLOOKUP(IA4,Data_lists!L23:M43,2,FALSE)</f>
        <v>20</v>
      </c>
      <c r="IB5" s="10">
        <f>IF(IB4&lt;0,(256+IB4),IB4)</f>
        <v>0</v>
      </c>
      <c r="IC5" s="10">
        <f>VLOOKUP(IC4,Data_lists!L23:M43,2,FALSE)</f>
        <v>20</v>
      </c>
      <c r="ID5" s="10">
        <f>IF(ID4&lt;0,(256+ID4),ID4)</f>
        <v>0</v>
      </c>
      <c r="IE5" s="10">
        <f>VLOOKUP(IE4,Data_lists!L23:M43,2,FALSE)</f>
        <v>20</v>
      </c>
      <c r="IF5" s="10">
        <f>IF(IF4&lt;0,(256+IF4),IF4)</f>
        <v>0</v>
      </c>
      <c r="IG5" s="10">
        <f>IG4</f>
        <v>0</v>
      </c>
      <c r="IH5" s="10">
        <f>IH4</f>
        <v>0</v>
      </c>
      <c r="II5" s="10">
        <f>II4</f>
        <v>0</v>
      </c>
      <c r="IJ5" s="10">
        <f>IJ4</f>
        <v>0</v>
      </c>
      <c r="IK5" s="10">
        <f>VLOOKUP(IK4,Data_lists!F10:G12,2,FALSE)</f>
        <v>2</v>
      </c>
      <c r="IL5" s="10">
        <f>IL4</f>
        <v>100</v>
      </c>
      <c r="IM5" s="10">
        <f>IM4</f>
        <v>100</v>
      </c>
      <c r="IN5" s="10">
        <f>VLOOKUP(IN4,Data_lists!I10:J12,2,FALSE)</f>
        <v>0</v>
      </c>
      <c r="IO5" s="10">
        <f t="shared" ref="IO5:IT5" si="19">IF(IO4&lt;0,(256+IO4),IO4)</f>
        <v>241</v>
      </c>
      <c r="IP5" s="10">
        <f t="shared" si="19"/>
        <v>236</v>
      </c>
      <c r="IQ5" s="10">
        <f t="shared" si="19"/>
        <v>15</v>
      </c>
      <c r="IR5" s="10">
        <f t="shared" si="19"/>
        <v>20</v>
      </c>
      <c r="IS5" s="10">
        <f t="shared" si="19"/>
        <v>216</v>
      </c>
      <c r="IT5" s="10">
        <f t="shared" si="19"/>
        <v>206</v>
      </c>
      <c r="IU5" s="10">
        <f>VLOOKUP(IU4,Data_lists!L2:M4,2,FALSE)</f>
        <v>1</v>
      </c>
      <c r="IV5" s="10">
        <f>VLOOKUP(IV4,Data_lists!L2:M4,2,FALSE)</f>
        <v>1</v>
      </c>
      <c r="IW5" s="10">
        <f>VLOOKUP(IW4,Data_lists!L2:M4,2,FALSE)</f>
        <v>1</v>
      </c>
      <c r="IX5" s="10">
        <f>VLOOKUP(IX4,Data_lists!L2:M4,2,FALSE)</f>
        <v>1</v>
      </c>
      <c r="IY5" s="10">
        <f>VLOOKUP(IY4,Data_lists!L2:M4,2,FALSE)</f>
        <v>1</v>
      </c>
      <c r="IZ5" s="10">
        <f>VLOOKUP(IZ4,Data_lists!L2:M4,2,FALSE)</f>
        <v>1</v>
      </c>
      <c r="JA5" s="10">
        <f>VLOOKUP(JA4,Data_lists!L2:M4,2,FALSE)</f>
        <v>1</v>
      </c>
      <c r="JB5" s="10">
        <f>VLOOKUP(JB4,Data_lists!L2:M4,2,FALSE)</f>
        <v>1</v>
      </c>
      <c r="JC5" s="10">
        <f>VLOOKUP(JC4,Data_lists!L2:M4,2,FALSE)</f>
        <v>1</v>
      </c>
      <c r="JD5" s="10">
        <f>VLOOKUP(JD4,Data_lists!L2:M4,2,FALSE)</f>
        <v>1</v>
      </c>
      <c r="JE5" s="10">
        <f>VLOOKUP(JE4,Data_lists!L2:M4,2,FALSE)</f>
        <v>1</v>
      </c>
      <c r="JF5" s="10">
        <f>VLOOKUP(JF4,Data_lists!L2:M4,2,FALSE)</f>
        <v>1</v>
      </c>
      <c r="JG5" s="10">
        <f>VLOOKUP(JG4,Data_lists!L23:M43,2,FALSE)</f>
        <v>20</v>
      </c>
      <c r="JH5" s="10">
        <f>IF(JH4&lt;0,(256+JH4),JH4)</f>
        <v>0</v>
      </c>
      <c r="JI5" s="10">
        <f>VLOOKUP(JI4,Data_lists!L23:M43,2,FALSE)</f>
        <v>20</v>
      </c>
      <c r="JJ5" s="10">
        <f>IF(JJ4&lt;0,(256+JJ4),JJ4)</f>
        <v>0</v>
      </c>
      <c r="JK5" s="10">
        <f>VLOOKUP(JK4,Data_lists!L23:M43,2,FALSE)</f>
        <v>20</v>
      </c>
      <c r="JL5" s="10">
        <f>IF(JL4&lt;0,(256+JL4),JL4)</f>
        <v>0</v>
      </c>
      <c r="JM5" s="10">
        <f>VLOOKUP(JM4,Data_lists!L23:M43,2,FALSE)</f>
        <v>20</v>
      </c>
      <c r="JN5" s="10">
        <f>IF(JN4&lt;0,(256+JN4),JN4)</f>
        <v>0</v>
      </c>
      <c r="JO5" s="10">
        <f>JO4</f>
        <v>0</v>
      </c>
      <c r="JP5" s="10">
        <f>JP4</f>
        <v>0</v>
      </c>
      <c r="JQ5" s="10">
        <f>JQ4</f>
        <v>0</v>
      </c>
      <c r="JR5" s="10">
        <f>JR4</f>
        <v>0</v>
      </c>
      <c r="JS5" s="10">
        <f>VLOOKUP(JS4,Data_lists!F10:G12,2,FALSE)</f>
        <v>2</v>
      </c>
      <c r="JT5" s="10">
        <f>JT4</f>
        <v>100</v>
      </c>
      <c r="JU5" s="10">
        <f>JU4</f>
        <v>100</v>
      </c>
      <c r="JV5" s="10">
        <f>VLOOKUP(JV4,Data_lists!I10:J12,2,FALSE)</f>
        <v>0</v>
      </c>
      <c r="JW5" s="10">
        <f t="shared" ref="JW5:KB5" si="20">IF(JW4&lt;0,(256+JW4),JW4)</f>
        <v>15</v>
      </c>
      <c r="JX5" s="10">
        <f t="shared" si="20"/>
        <v>20</v>
      </c>
      <c r="JY5" s="10">
        <f t="shared" si="20"/>
        <v>15</v>
      </c>
      <c r="JZ5" s="10">
        <f t="shared" si="20"/>
        <v>20</v>
      </c>
      <c r="KA5" s="10">
        <f t="shared" si="20"/>
        <v>40</v>
      </c>
      <c r="KB5" s="10">
        <f t="shared" si="20"/>
        <v>50</v>
      </c>
      <c r="KC5" s="10">
        <f>VLOOKUP(KC4,Data_lists!L2:M4,2,FALSE)</f>
        <v>1</v>
      </c>
      <c r="KD5" s="10">
        <f>VLOOKUP(KD4,Data_lists!L2:M4,2,FALSE)</f>
        <v>1</v>
      </c>
      <c r="KE5" s="10">
        <f>VLOOKUP(KE4,Data_lists!L2:M4,2,FALSE)</f>
        <v>1</v>
      </c>
      <c r="KF5" s="10">
        <f>VLOOKUP(KF4,Data_lists!L2:M4,2,FALSE)</f>
        <v>1</v>
      </c>
      <c r="KG5" s="10">
        <f>VLOOKUP(KG4,Data_lists!L2:M4,2,FALSE)</f>
        <v>1</v>
      </c>
      <c r="KH5" s="10">
        <f>VLOOKUP(KH4,Data_lists!L2:M4,2,FALSE)</f>
        <v>1</v>
      </c>
      <c r="KI5" s="10">
        <f>VLOOKUP(KI4,Data_lists!L2:M4,2,FALSE)</f>
        <v>1</v>
      </c>
      <c r="KJ5" s="10">
        <f>VLOOKUP(KJ4,Data_lists!L2:M4,2,FALSE)</f>
        <v>1</v>
      </c>
      <c r="KK5" s="10">
        <f>VLOOKUP(KK4,Data_lists!L2:M4,2,FALSE)</f>
        <v>1</v>
      </c>
      <c r="KL5" s="10">
        <f>VLOOKUP(KL4,Data_lists!L2:M4,2,FALSE)</f>
        <v>1</v>
      </c>
      <c r="KM5" s="10">
        <f>VLOOKUP(KM4,Data_lists!L2:M4,2,FALSE)</f>
        <v>1</v>
      </c>
      <c r="KN5" s="10">
        <f>VLOOKUP(KN4,Data_lists!L2:M4,2,FALSE)</f>
        <v>1</v>
      </c>
      <c r="KO5" s="10">
        <f>VLOOKUP(KO4,Data_lists!L23:M43,2,FALSE)</f>
        <v>20</v>
      </c>
      <c r="KP5" s="10">
        <f>IF(KP4&lt;0,(256+KP4),KP4)</f>
        <v>0</v>
      </c>
      <c r="KQ5" s="10">
        <f>VLOOKUP(KQ4,Data_lists!L23:M43,2,FALSE)</f>
        <v>20</v>
      </c>
      <c r="KR5" s="10">
        <f>IF(KR4&lt;0,(256+KR4),KR4)</f>
        <v>0</v>
      </c>
      <c r="KS5" s="10">
        <f>VLOOKUP(KS4,Data_lists!L23:M43,2,FALSE)</f>
        <v>20</v>
      </c>
      <c r="KT5" s="10">
        <f>IF(KT4&lt;0,(256+KT4),KT4)</f>
        <v>0</v>
      </c>
      <c r="KU5" s="10">
        <f>VLOOKUP(KU4,Data_lists!L23:M43,2,FALSE)</f>
        <v>20</v>
      </c>
      <c r="KV5" s="10">
        <f>IF(KV4&lt;0,(256+KV4),KV4)</f>
        <v>0</v>
      </c>
      <c r="KW5" s="10">
        <f>KW4</f>
        <v>0</v>
      </c>
      <c r="KX5" s="10">
        <f>KX4</f>
        <v>0</v>
      </c>
      <c r="KY5" s="10">
        <f>KY4</f>
        <v>0</v>
      </c>
      <c r="KZ5" s="10">
        <f>KZ4</f>
        <v>0</v>
      </c>
      <c r="LA5" s="10">
        <f>VLOOKUP(LA4,Data_lists!F10:G12,2,FALSE)</f>
        <v>0</v>
      </c>
      <c r="LB5" s="10">
        <f>LB4</f>
        <v>0</v>
      </c>
      <c r="LC5" s="10">
        <f>LC4</f>
        <v>0</v>
      </c>
      <c r="LD5" s="10">
        <f>VLOOKUP(LD4,Data_lists!I10:J12,2,FALSE)</f>
        <v>0</v>
      </c>
      <c r="LE5" s="10">
        <f t="shared" ref="LE5:LJ5" si="21">IF(LE4&lt;0,(256+LE4),LE4)</f>
        <v>0</v>
      </c>
      <c r="LF5" s="10">
        <f t="shared" si="21"/>
        <v>0</v>
      </c>
      <c r="LG5" s="10">
        <f t="shared" si="21"/>
        <v>75</v>
      </c>
      <c r="LH5" s="10">
        <f t="shared" si="21"/>
        <v>100</v>
      </c>
      <c r="LI5" s="10">
        <f t="shared" si="21"/>
        <v>0</v>
      </c>
      <c r="LJ5" s="10">
        <f t="shared" si="21"/>
        <v>0</v>
      </c>
      <c r="LK5" s="10">
        <f>VLOOKUP(LK4,Data_lists!L2:M4,2,FALSE)</f>
        <v>0</v>
      </c>
      <c r="LL5" s="10">
        <f>VLOOKUP(LL4,Data_lists!L2:M4,2,FALSE)</f>
        <v>0</v>
      </c>
      <c r="LM5" s="10">
        <f>VLOOKUP(LM4,Data_lists!L2:M4,2,FALSE)</f>
        <v>0</v>
      </c>
      <c r="LN5" s="10">
        <f>VLOOKUP(LN4,Data_lists!L2:M4,2,FALSE)</f>
        <v>0</v>
      </c>
      <c r="LO5" s="10">
        <f>VLOOKUP(LO4,Data_lists!L2:M4,2,FALSE)</f>
        <v>0</v>
      </c>
      <c r="LP5" s="10">
        <f>VLOOKUP(LP4,Data_lists!L2:M4,2,FALSE)</f>
        <v>0</v>
      </c>
      <c r="LQ5" s="10">
        <f>VLOOKUP(LQ4,Data_lists!L2:M4,2,FALSE)</f>
        <v>0</v>
      </c>
      <c r="LR5" s="10">
        <f>VLOOKUP(LR4,Data_lists!L2:M4,2,FALSE)</f>
        <v>0</v>
      </c>
      <c r="LS5" s="10">
        <f>VLOOKUP(LS4,Data_lists!L2:M4,2,FALSE)</f>
        <v>0</v>
      </c>
      <c r="LT5" s="10">
        <f>VLOOKUP(LT4,Data_lists!L2:M4,2,FALSE)</f>
        <v>0</v>
      </c>
      <c r="LU5" s="10">
        <f>VLOOKUP(LU4,Data_lists!L2:M4,2,FALSE)</f>
        <v>0</v>
      </c>
      <c r="LV5" s="10">
        <f>VLOOKUP(LV4,Data_lists!L2:M4,2,FALSE)</f>
        <v>0</v>
      </c>
      <c r="LW5" s="10">
        <f>VLOOKUP(LW4,Data_lists!L23:M43,2,FALSE)</f>
        <v>20</v>
      </c>
      <c r="LX5" s="10">
        <f>IF(LX4&lt;0,(256+LX4),LX4)</f>
        <v>0</v>
      </c>
      <c r="LY5" s="10">
        <f>VLOOKUP(LY4,Data_lists!L23:M43,2,FALSE)</f>
        <v>20</v>
      </c>
      <c r="LZ5" s="10">
        <f>IF(LZ4&lt;0,(256+LZ4),LZ4)</f>
        <v>0</v>
      </c>
      <c r="MA5" s="10">
        <f>VLOOKUP(MA4,Data_lists!L23:M43,2,FALSE)</f>
        <v>20</v>
      </c>
      <c r="MB5" s="10">
        <f>IF(MB4&lt;0,(256+MB4),MB4)</f>
        <v>0</v>
      </c>
      <c r="MC5" s="10">
        <f>VLOOKUP(MC4,Data_lists!L23:M43,2,FALSE)</f>
        <v>20</v>
      </c>
      <c r="MD5" s="10">
        <f>IF(MD4&lt;0,(256+MD4),MD4)</f>
        <v>0</v>
      </c>
      <c r="ME5" s="10">
        <f>ME4</f>
        <v>0</v>
      </c>
      <c r="MF5" s="10">
        <f>MF4</f>
        <v>0</v>
      </c>
      <c r="MG5" s="10">
        <f>MG4</f>
        <v>0</v>
      </c>
      <c r="MH5" s="10">
        <f>MH4</f>
        <v>0</v>
      </c>
      <c r="MI5" s="10">
        <f>VLOOKUP(MI4,Data_lists!F10:G12,2,FALSE)</f>
        <v>0</v>
      </c>
      <c r="MJ5" s="10">
        <f>MJ4</f>
        <v>0</v>
      </c>
      <c r="MK5" s="10">
        <f>MK4</f>
        <v>0</v>
      </c>
      <c r="ML5" s="10">
        <f>VLOOKUP(ML4,Data_lists!I10:J12,2,FALSE)</f>
        <v>0</v>
      </c>
      <c r="MM5" s="10">
        <f t="shared" ref="MM5:MR5" si="22">IF(MM4&lt;0,(256+MM4),MM4)</f>
        <v>75</v>
      </c>
      <c r="MN5" s="10">
        <f t="shared" si="22"/>
        <v>100</v>
      </c>
      <c r="MO5" s="10">
        <f t="shared" si="22"/>
        <v>0</v>
      </c>
      <c r="MP5" s="10">
        <f t="shared" si="22"/>
        <v>0</v>
      </c>
      <c r="MQ5" s="10">
        <f t="shared" si="22"/>
        <v>0</v>
      </c>
      <c r="MR5" s="10">
        <f t="shared" si="22"/>
        <v>0</v>
      </c>
      <c r="MS5" s="10">
        <f>VLOOKUP(MS4,Data_lists!L2:M4,2,FALSE)</f>
        <v>0</v>
      </c>
      <c r="MT5" s="10">
        <f>VLOOKUP(MT4,Data_lists!L2:M4,2,FALSE)</f>
        <v>0</v>
      </c>
      <c r="MU5" s="10">
        <f>VLOOKUP(MU4,Data_lists!L2:M4,2,FALSE)</f>
        <v>0</v>
      </c>
      <c r="MV5" s="10">
        <f>VLOOKUP(MV4,Data_lists!L2:M4,2,FALSE)</f>
        <v>0</v>
      </c>
      <c r="MW5" s="10">
        <f>VLOOKUP(MW4,Data_lists!L2:M4,2,FALSE)</f>
        <v>0</v>
      </c>
      <c r="MX5" s="10">
        <f>VLOOKUP(MX4,Data_lists!L2:M4,2,FALSE)</f>
        <v>0</v>
      </c>
      <c r="MY5" s="10">
        <f>VLOOKUP(MY4,Data_lists!L2:M4,2,FALSE)</f>
        <v>0</v>
      </c>
      <c r="MZ5" s="10">
        <f>VLOOKUP(MZ4,Data_lists!L2:M4,2,FALSE)</f>
        <v>0</v>
      </c>
      <c r="NA5" s="10">
        <f>VLOOKUP(NA4,Data_lists!L2:M4,2,FALSE)</f>
        <v>0</v>
      </c>
      <c r="NB5" s="10">
        <f>VLOOKUP(NB4,Data_lists!L2:M4,2,FALSE)</f>
        <v>0</v>
      </c>
      <c r="NC5" s="10">
        <f>VLOOKUP(NC4,Data_lists!L2:M4,2,FALSE)</f>
        <v>0</v>
      </c>
      <c r="ND5" s="10">
        <f>VLOOKUP(ND4,Data_lists!L2:M4,2,FALSE)</f>
        <v>0</v>
      </c>
      <c r="NE5" s="10">
        <f>VLOOKUP(NE4,Data_lists!L23:M43,2,FALSE)</f>
        <v>20</v>
      </c>
      <c r="NF5" s="10">
        <f>IF(NF4&lt;0,(256+NF4),NF4)</f>
        <v>0</v>
      </c>
      <c r="NG5" s="10">
        <f>VLOOKUP(NG4,Data_lists!L23:M43,2,FALSE)</f>
        <v>20</v>
      </c>
      <c r="NH5" s="10">
        <f>IF(NH4&lt;0,(256+NH4),NH4)</f>
        <v>0</v>
      </c>
      <c r="NI5" s="10">
        <f>VLOOKUP(NI4,Data_lists!L23:M43,2,FALSE)</f>
        <v>20</v>
      </c>
      <c r="NJ5" s="10">
        <f>IF(NJ4&lt;0,(256+NJ4),NJ4)</f>
        <v>0</v>
      </c>
      <c r="NK5" s="10">
        <f>VLOOKUP(NK4,Data_lists!L23:M43,2,FALSE)</f>
        <v>20</v>
      </c>
      <c r="NL5" s="10">
        <f>IF(NL4&lt;0,(256+NL4),NL4)</f>
        <v>0</v>
      </c>
      <c r="NM5" s="10">
        <f>NM4</f>
        <v>0</v>
      </c>
      <c r="NN5" s="10">
        <f>NN4</f>
        <v>0</v>
      </c>
      <c r="NO5" s="10">
        <f>NO4</f>
        <v>0</v>
      </c>
      <c r="NP5" s="10">
        <f>NP4</f>
        <v>0</v>
      </c>
      <c r="NQ5" s="10">
        <f>VLOOKUP(NQ4,Data_lists!F10:G12,2,FALSE)</f>
        <v>0</v>
      </c>
      <c r="NR5" s="10">
        <f>NR4</f>
        <v>0</v>
      </c>
      <c r="NS5" s="10">
        <f>NS4</f>
        <v>0</v>
      </c>
      <c r="NT5" s="10">
        <f>VLOOKUP(NT4,Data_lists!I10:J12,2,FALSE)</f>
        <v>0</v>
      </c>
      <c r="NU5" s="10">
        <f t="shared" ref="NU5:NZ5" si="23">IF(NU4&lt;0,(256+NU4),NU4)</f>
        <v>0</v>
      </c>
      <c r="NV5" s="10">
        <f t="shared" si="23"/>
        <v>0</v>
      </c>
      <c r="NW5" s="10">
        <f t="shared" si="23"/>
        <v>0</v>
      </c>
      <c r="NX5" s="10">
        <f t="shared" si="23"/>
        <v>0</v>
      </c>
      <c r="NY5" s="10">
        <f t="shared" si="23"/>
        <v>75</v>
      </c>
      <c r="NZ5" s="10">
        <f t="shared" si="23"/>
        <v>100</v>
      </c>
      <c r="OA5" s="10">
        <f>VLOOKUP(OA4,Data_lists!L2:M4,2,FALSE)</f>
        <v>0</v>
      </c>
      <c r="OB5" s="10">
        <f>VLOOKUP(OB4,Data_lists!L2:M4,2,FALSE)</f>
        <v>0</v>
      </c>
      <c r="OC5" s="10">
        <f>VLOOKUP(OC4,Data_lists!L2:M4,2,FALSE)</f>
        <v>0</v>
      </c>
      <c r="OD5" s="10">
        <f>VLOOKUP(OD4,Data_lists!L2:M4,2,FALSE)</f>
        <v>0</v>
      </c>
      <c r="OE5" s="10">
        <f>VLOOKUP(OE4,Data_lists!L2:M4,2,FALSE)</f>
        <v>0</v>
      </c>
      <c r="OF5" s="10">
        <f>VLOOKUP(OF4,Data_lists!L2:M4,2,FALSE)</f>
        <v>0</v>
      </c>
      <c r="OG5" s="10">
        <f>VLOOKUP(OG4,Data_lists!L2:M4,2,FALSE)</f>
        <v>0</v>
      </c>
      <c r="OH5" s="10">
        <f>VLOOKUP(OH4,Data_lists!L2:M4,2,FALSE)</f>
        <v>0</v>
      </c>
      <c r="OI5" s="10">
        <f>VLOOKUP(OI4,Data_lists!L2:M4,2,FALSE)</f>
        <v>0</v>
      </c>
      <c r="OJ5" s="10">
        <f>VLOOKUP(OJ4,Data_lists!L2:M4,2,FALSE)</f>
        <v>0</v>
      </c>
      <c r="OK5" s="10">
        <f>VLOOKUP(OK4,Data_lists!L2:M4,2,FALSE)</f>
        <v>0</v>
      </c>
      <c r="OL5" s="10">
        <f>VLOOKUP(OL4,Data_lists!L2:M4,2,FALSE)</f>
        <v>0</v>
      </c>
      <c r="OM5" s="10">
        <f>VLOOKUP(OM4,Data_lists!L23:M43,2,FALSE)</f>
        <v>20</v>
      </c>
      <c r="ON5" s="10">
        <f>IF(ON4&lt;0,(256+ON4),ON4)</f>
        <v>0</v>
      </c>
      <c r="OO5" s="10">
        <f>VLOOKUP(OO4,Data_lists!L23:M43,2,FALSE)</f>
        <v>20</v>
      </c>
      <c r="OP5" s="10">
        <f>IF(OP4&lt;0,(256+OP4),OP4)</f>
        <v>0</v>
      </c>
      <c r="OQ5" s="10">
        <f>VLOOKUP(OQ4,Data_lists!L23:M43,2,FALSE)</f>
        <v>20</v>
      </c>
      <c r="OR5" s="10">
        <f>IF(OR4&lt;0,(256+OR4),OR4)</f>
        <v>0</v>
      </c>
      <c r="OS5" s="10">
        <f>VLOOKUP(OS4,Data_lists!L23:M43,2,FALSE)</f>
        <v>20</v>
      </c>
      <c r="OT5" s="10">
        <f>IF(OT4&lt;0,(256+OT4),OT4)</f>
        <v>0</v>
      </c>
      <c r="OU5" s="10">
        <f>OU4</f>
        <v>0</v>
      </c>
      <c r="OV5" s="10">
        <f>OV4</f>
        <v>0</v>
      </c>
      <c r="OW5" s="10">
        <f>OW4</f>
        <v>0</v>
      </c>
      <c r="OX5" s="10">
        <f>OX4</f>
        <v>0</v>
      </c>
      <c r="OY5" s="10">
        <f>VLOOKUP(OY4,Data_lists!F10:G12,2,FALSE)</f>
        <v>0</v>
      </c>
      <c r="OZ5" s="10">
        <f>OZ4</f>
        <v>0</v>
      </c>
      <c r="PA5" s="10">
        <f>PA4</f>
        <v>0</v>
      </c>
      <c r="PB5" s="10">
        <f>VLOOKUP(PB4,Data_lists!I10:J12,2,FALSE)</f>
        <v>0</v>
      </c>
      <c r="PC5" s="10">
        <f t="shared" ref="PC5:PH5" si="24">IF(PC4&lt;0,(256+PC4),PC4)</f>
        <v>0</v>
      </c>
      <c r="PD5" s="10">
        <f t="shared" si="24"/>
        <v>0</v>
      </c>
      <c r="PE5" s="10">
        <f t="shared" si="24"/>
        <v>0</v>
      </c>
      <c r="PF5" s="10">
        <f t="shared" si="24"/>
        <v>0</v>
      </c>
      <c r="PG5" s="10">
        <f t="shared" si="24"/>
        <v>0</v>
      </c>
      <c r="PH5" s="10">
        <f t="shared" si="24"/>
        <v>0</v>
      </c>
      <c r="PI5" s="10">
        <f>VLOOKUP(PI4,Data_lists!L2:M4,2,FALSE)</f>
        <v>0</v>
      </c>
      <c r="PJ5" s="10">
        <f>VLOOKUP(PJ4,Data_lists!L2:M4,2,FALSE)</f>
        <v>0</v>
      </c>
      <c r="PK5" s="10">
        <f>VLOOKUP(PK4,Data_lists!L2:M4,2,FALSE)</f>
        <v>0</v>
      </c>
      <c r="PL5" s="10">
        <f>VLOOKUP(PL4,Data_lists!L2:M4,2,FALSE)</f>
        <v>0</v>
      </c>
      <c r="PM5" s="10">
        <f>VLOOKUP(PM4,Data_lists!L2:M4,2,FALSE)</f>
        <v>0</v>
      </c>
      <c r="PN5" s="10">
        <f>VLOOKUP(PN4,Data_lists!L2:M4,2,FALSE)</f>
        <v>0</v>
      </c>
      <c r="PO5" s="10">
        <f>VLOOKUP(PO4,Data_lists!L2:M4,2,FALSE)</f>
        <v>0</v>
      </c>
      <c r="PP5" s="10">
        <f>VLOOKUP(PP4,Data_lists!L2:M4,2,FALSE)</f>
        <v>0</v>
      </c>
      <c r="PQ5" s="10">
        <f>VLOOKUP(PQ4,Data_lists!L2:M4,2,FALSE)</f>
        <v>0</v>
      </c>
      <c r="PR5" s="10">
        <f>VLOOKUP(PR4,Data_lists!L2:M4,2,FALSE)</f>
        <v>0</v>
      </c>
      <c r="PS5" s="10">
        <f>VLOOKUP(PS4,Data_lists!L2:M4,2,FALSE)</f>
        <v>0</v>
      </c>
      <c r="PT5" s="10">
        <f>VLOOKUP(PT4,Data_lists!L2:M4,2,FALSE)</f>
        <v>0</v>
      </c>
      <c r="PU5" s="10">
        <f>VLOOKUP(PU4,Data_lists!L23:M43,2,FALSE)</f>
        <v>20</v>
      </c>
      <c r="PV5" s="10">
        <f>IF(PV4&lt;0,(256+PV4),PV4)</f>
        <v>0</v>
      </c>
      <c r="PW5" s="10">
        <f>VLOOKUP(PW4,Data_lists!L23:M43,2,FALSE)</f>
        <v>20</v>
      </c>
      <c r="PX5" s="10">
        <f>IF(PX4&lt;0,(256+PX4),PX4)</f>
        <v>0</v>
      </c>
      <c r="PY5" s="10">
        <f>VLOOKUP(PY4,Data_lists!L23:M43,2,FALSE)</f>
        <v>20</v>
      </c>
      <c r="PZ5" s="10">
        <f>IF(PZ4&lt;0,(256+PZ4),PZ4)</f>
        <v>0</v>
      </c>
      <c r="QA5" s="10">
        <f>VLOOKUP(QA4,Data_lists!L23:M43,2,FALSE)</f>
        <v>20</v>
      </c>
      <c r="QB5" s="10">
        <f>IF(QB4&lt;0,(256+QB4),QB4)</f>
        <v>0</v>
      </c>
      <c r="QC5" s="10">
        <f>VLOOKUP(QC4,Data_lists!L10:M11,2,FALSE)</f>
        <v>0</v>
      </c>
      <c r="QD5" s="10">
        <f>VLOOKUP(QD4,Data_lists!L10:M11,2,FALSE)</f>
        <v>0</v>
      </c>
      <c r="QE5" s="10">
        <f>VLOOKUP(QE4,Data_lists!L10:M11,2,FALSE)</f>
        <v>0</v>
      </c>
      <c r="QF5" s="10">
        <f>VLOOKUP(QF4,Data_lists!L10:M11,2,FALSE)</f>
        <v>0</v>
      </c>
      <c r="QG5" s="10">
        <f>VLOOKUP(QG4,Data_lists!L10:M11,2,FALSE)</f>
        <v>0</v>
      </c>
      <c r="QH5" s="10">
        <f>VLOOKUP(QH4,Data_lists!L10:M11,2,FALSE)</f>
        <v>0</v>
      </c>
      <c r="QI5" s="10">
        <f>VLOOKUP(QI4,Data_lists!L10:M11,2,FALSE)</f>
        <v>0</v>
      </c>
      <c r="QJ5" s="10">
        <f>VLOOKUP(QJ4,Data_lists!L10:M11,2,FALSE)</f>
        <v>0</v>
      </c>
      <c r="QK5" s="10">
        <f>IF(QK4&lt;0,(256+QK4),QK4)</f>
        <v>156</v>
      </c>
      <c r="QL5" s="10">
        <f t="shared" ref="QL5:QZ5" si="25">IF(QL4&lt;0,(256+QL4),QL4)</f>
        <v>156</v>
      </c>
      <c r="QM5" s="10">
        <f t="shared" si="25"/>
        <v>156</v>
      </c>
      <c r="QN5" s="10">
        <f t="shared" si="25"/>
        <v>156</v>
      </c>
      <c r="QO5" s="10">
        <f t="shared" si="25"/>
        <v>156</v>
      </c>
      <c r="QP5" s="10">
        <f t="shared" si="25"/>
        <v>156</v>
      </c>
      <c r="QQ5" s="10">
        <f t="shared" si="25"/>
        <v>156</v>
      </c>
      <c r="QR5" s="10">
        <f t="shared" si="25"/>
        <v>156</v>
      </c>
      <c r="QS5" s="10">
        <f t="shared" si="25"/>
        <v>100</v>
      </c>
      <c r="QT5" s="10">
        <f t="shared" si="25"/>
        <v>100</v>
      </c>
      <c r="QU5" s="10">
        <f t="shared" si="25"/>
        <v>100</v>
      </c>
      <c r="QV5" s="10">
        <f t="shared" si="25"/>
        <v>100</v>
      </c>
      <c r="QW5" s="10">
        <f t="shared" si="25"/>
        <v>100</v>
      </c>
      <c r="QX5" s="10">
        <f t="shared" si="25"/>
        <v>100</v>
      </c>
      <c r="QY5" s="10">
        <f t="shared" si="25"/>
        <v>100</v>
      </c>
      <c r="QZ5" s="10">
        <f t="shared" si="25"/>
        <v>100</v>
      </c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>
        <f>UK4</f>
        <v>0</v>
      </c>
      <c r="UL5" s="10">
        <f t="shared" ref="UL5:UZ5" si="26">UL4</f>
        <v>17</v>
      </c>
      <c r="UM5" s="10">
        <f t="shared" si="26"/>
        <v>33</v>
      </c>
      <c r="UN5" s="10">
        <f t="shared" si="26"/>
        <v>50</v>
      </c>
      <c r="UO5" s="10">
        <f t="shared" si="26"/>
        <v>67</v>
      </c>
      <c r="UP5" s="10">
        <f t="shared" si="26"/>
        <v>83</v>
      </c>
      <c r="UQ5" s="10">
        <f t="shared" si="26"/>
        <v>100</v>
      </c>
      <c r="UR5" s="10">
        <f t="shared" si="26"/>
        <v>0</v>
      </c>
      <c r="US5" s="10">
        <f t="shared" si="26"/>
        <v>0</v>
      </c>
      <c r="UT5" s="10">
        <f t="shared" si="26"/>
        <v>17</v>
      </c>
      <c r="UU5" s="10">
        <f t="shared" si="26"/>
        <v>33</v>
      </c>
      <c r="UV5" s="10">
        <f t="shared" si="26"/>
        <v>50</v>
      </c>
      <c r="UW5" s="10">
        <f t="shared" si="26"/>
        <v>67</v>
      </c>
      <c r="UX5" s="10">
        <f t="shared" si="26"/>
        <v>83</v>
      </c>
      <c r="UY5" s="10">
        <f t="shared" si="26"/>
        <v>100</v>
      </c>
      <c r="UZ5" s="10">
        <f t="shared" si="26"/>
        <v>0</v>
      </c>
      <c r="VA5" s="10">
        <f>IF(VA4&lt;0,(256+VA4),VA4)</f>
        <v>156</v>
      </c>
      <c r="VB5" s="10">
        <f t="shared" ref="VB5:VG5" si="27">IF(VB4&lt;0,(256+VB4),VB4)</f>
        <v>189</v>
      </c>
      <c r="VC5" s="10">
        <f t="shared" si="27"/>
        <v>223</v>
      </c>
      <c r="VD5" s="10">
        <f t="shared" si="27"/>
        <v>0</v>
      </c>
      <c r="VE5" s="10">
        <f t="shared" si="27"/>
        <v>33</v>
      </c>
      <c r="VF5" s="10">
        <f t="shared" si="27"/>
        <v>67</v>
      </c>
      <c r="VG5" s="10">
        <f t="shared" si="27"/>
        <v>100</v>
      </c>
      <c r="VH5" s="10">
        <f>VH4</f>
        <v>0</v>
      </c>
      <c r="VI5" s="10">
        <f>IF(VI4&lt;0,(256+VI4),VI4)</f>
        <v>156</v>
      </c>
      <c r="VJ5" s="10">
        <f t="shared" ref="VJ5:WD5" si="28">IF(VJ4&lt;0,(256+VJ4),VJ4)</f>
        <v>189</v>
      </c>
      <c r="VK5" s="10">
        <f t="shared" si="28"/>
        <v>223</v>
      </c>
      <c r="VL5" s="10">
        <f t="shared" si="28"/>
        <v>0</v>
      </c>
      <c r="VM5" s="10">
        <f t="shared" si="28"/>
        <v>33</v>
      </c>
      <c r="VN5" s="10">
        <f t="shared" si="28"/>
        <v>67</v>
      </c>
      <c r="VO5" s="10">
        <f t="shared" si="28"/>
        <v>100</v>
      </c>
      <c r="VP5" s="10">
        <f t="shared" si="28"/>
        <v>0</v>
      </c>
      <c r="VQ5" s="10">
        <f t="shared" si="28"/>
        <v>156</v>
      </c>
      <c r="VR5" s="10">
        <f t="shared" si="28"/>
        <v>189</v>
      </c>
      <c r="VS5" s="10">
        <f t="shared" si="28"/>
        <v>223</v>
      </c>
      <c r="VT5" s="10">
        <f t="shared" si="28"/>
        <v>0</v>
      </c>
      <c r="VU5" s="10">
        <f t="shared" si="28"/>
        <v>33</v>
      </c>
      <c r="VV5" s="10">
        <f t="shared" si="28"/>
        <v>67</v>
      </c>
      <c r="VW5" s="10">
        <f t="shared" si="28"/>
        <v>100</v>
      </c>
      <c r="VX5" s="10">
        <f>VLOOKUP(VX4,Data_lists!L23:M43,2,FALSE)</f>
        <v>20</v>
      </c>
      <c r="VY5" s="10">
        <f t="shared" si="28"/>
        <v>156</v>
      </c>
      <c r="VZ5" s="10">
        <f t="shared" si="28"/>
        <v>189</v>
      </c>
      <c r="WA5" s="10">
        <f t="shared" si="28"/>
        <v>223</v>
      </c>
      <c r="WB5" s="10">
        <f t="shared" si="28"/>
        <v>0</v>
      </c>
      <c r="WC5" s="10">
        <f t="shared" si="28"/>
        <v>33</v>
      </c>
      <c r="WD5" s="10">
        <f t="shared" si="28"/>
        <v>67</v>
      </c>
      <c r="WE5" s="10">
        <f>IF(WE4&lt;0,(256+WE4),WE4)</f>
        <v>100</v>
      </c>
      <c r="WF5" s="10">
        <f>VLOOKUP(WF4,Data_lists!L23:M43,2,FALSE)</f>
        <v>20</v>
      </c>
      <c r="WG5" s="10">
        <f>VLOOKUP(WG4,Data_lists!C2:D9,2,FALSE)</f>
        <v>0</v>
      </c>
      <c r="WH5" s="10">
        <f>VLOOKUP(WH4,Data_lists!C2:D9,2,FALSE)</f>
        <v>1</v>
      </c>
      <c r="WI5" s="10">
        <f>VLOOKUP(WI4,Data_lists!C2:D9,2,FALSE)</f>
        <v>2</v>
      </c>
      <c r="WJ5" s="10">
        <f>VLOOKUP(WJ4,Data_lists!C2:D9,2,FALSE)</f>
        <v>3</v>
      </c>
      <c r="WK5" s="10">
        <f>VLOOKUP(WK4,Data_lists!C2:D9,2,FALSE)</f>
        <v>4</v>
      </c>
      <c r="WL5" s="10">
        <f>VLOOKUP(WL4,Data_lists!C2:D9,2,FALSE)</f>
        <v>5</v>
      </c>
      <c r="WM5" s="10">
        <f>VLOOKUP(WM4,Data_lists!C2:D9,2,FALSE)</f>
        <v>6</v>
      </c>
      <c r="WN5" s="10">
        <f>VLOOKUP(WN4,Data_lists!C2:D9,2,FALSE)</f>
        <v>7</v>
      </c>
      <c r="WO5" s="10">
        <f>IF(WO4&lt;0,(256+WO4),WO4)</f>
        <v>0</v>
      </c>
      <c r="WP5" s="10">
        <f t="shared" ref="WP5:YY5" si="29">IF(WP4&lt;0,(256+WP4),WP4)</f>
        <v>0</v>
      </c>
      <c r="WQ5" s="10">
        <f t="shared" si="29"/>
        <v>0</v>
      </c>
      <c r="WR5" s="10">
        <f t="shared" si="29"/>
        <v>0</v>
      </c>
      <c r="WS5" s="10">
        <f t="shared" si="29"/>
        <v>0</v>
      </c>
      <c r="WT5" s="10">
        <f t="shared" si="29"/>
        <v>0</v>
      </c>
      <c r="WU5" s="10">
        <f t="shared" si="29"/>
        <v>0</v>
      </c>
      <c r="WV5" s="10">
        <f t="shared" si="29"/>
        <v>0</v>
      </c>
      <c r="WW5" s="10">
        <f t="shared" si="29"/>
        <v>0</v>
      </c>
      <c r="WX5" s="10">
        <f t="shared" si="29"/>
        <v>0</v>
      </c>
      <c r="WY5" s="10">
        <f t="shared" si="29"/>
        <v>0</v>
      </c>
      <c r="WZ5" s="10">
        <f t="shared" si="29"/>
        <v>0</v>
      </c>
      <c r="XA5" s="10">
        <f t="shared" si="29"/>
        <v>0</v>
      </c>
      <c r="XB5" s="10">
        <f t="shared" si="29"/>
        <v>0</v>
      </c>
      <c r="XC5" s="10">
        <f t="shared" si="29"/>
        <v>0</v>
      </c>
      <c r="XD5" s="10">
        <f t="shared" si="29"/>
        <v>0</v>
      </c>
      <c r="XE5" s="10">
        <f t="shared" si="29"/>
        <v>0</v>
      </c>
      <c r="XF5" s="10">
        <f t="shared" si="29"/>
        <v>0</v>
      </c>
      <c r="XG5" s="10">
        <f t="shared" si="29"/>
        <v>0</v>
      </c>
      <c r="XH5" s="10">
        <f t="shared" si="29"/>
        <v>0</v>
      </c>
      <c r="XI5" s="10">
        <f t="shared" si="29"/>
        <v>0</v>
      </c>
      <c r="XJ5" s="10">
        <f t="shared" si="29"/>
        <v>0</v>
      </c>
      <c r="XK5" s="10">
        <f t="shared" si="29"/>
        <v>0</v>
      </c>
      <c r="XL5" s="10">
        <f t="shared" si="29"/>
        <v>0</v>
      </c>
      <c r="XM5" s="10">
        <f t="shared" si="29"/>
        <v>0</v>
      </c>
      <c r="XN5" s="10">
        <f t="shared" si="29"/>
        <v>0</v>
      </c>
      <c r="XO5" s="10">
        <f t="shared" si="29"/>
        <v>0</v>
      </c>
      <c r="XP5" s="10">
        <f t="shared" si="29"/>
        <v>0</v>
      </c>
      <c r="XQ5" s="10">
        <f t="shared" si="29"/>
        <v>0</v>
      </c>
      <c r="XR5" s="10">
        <f t="shared" si="29"/>
        <v>0</v>
      </c>
      <c r="XS5" s="10">
        <f t="shared" si="29"/>
        <v>0</v>
      </c>
      <c r="XT5" s="10">
        <f t="shared" si="29"/>
        <v>0</v>
      </c>
      <c r="XU5" s="10">
        <f t="shared" si="29"/>
        <v>0</v>
      </c>
      <c r="XV5" s="10">
        <f t="shared" si="29"/>
        <v>0</v>
      </c>
      <c r="XW5" s="10">
        <f t="shared" si="29"/>
        <v>0</v>
      </c>
      <c r="XX5" s="10">
        <f t="shared" si="29"/>
        <v>0</v>
      </c>
      <c r="XY5" s="10">
        <f t="shared" si="29"/>
        <v>0</v>
      </c>
      <c r="XZ5" s="10">
        <f t="shared" si="29"/>
        <v>0</v>
      </c>
      <c r="YA5" s="10">
        <f t="shared" si="29"/>
        <v>0</v>
      </c>
      <c r="YB5" s="10">
        <f t="shared" si="29"/>
        <v>0</v>
      </c>
      <c r="YC5" s="10">
        <f t="shared" si="29"/>
        <v>0</v>
      </c>
      <c r="YD5" s="10">
        <f t="shared" si="29"/>
        <v>0</v>
      </c>
      <c r="YE5" s="10">
        <f t="shared" si="29"/>
        <v>0</v>
      </c>
      <c r="YF5" s="10">
        <f t="shared" si="29"/>
        <v>0</v>
      </c>
      <c r="YG5" s="10">
        <f t="shared" si="29"/>
        <v>0</v>
      </c>
      <c r="YH5" s="10">
        <f t="shared" si="29"/>
        <v>0</v>
      </c>
      <c r="YI5" s="10">
        <f t="shared" si="29"/>
        <v>0</v>
      </c>
      <c r="YJ5" s="10">
        <f t="shared" si="29"/>
        <v>0</v>
      </c>
      <c r="YK5" s="10">
        <f t="shared" si="29"/>
        <v>0</v>
      </c>
      <c r="YL5" s="10">
        <f t="shared" si="29"/>
        <v>0</v>
      </c>
      <c r="YM5" s="10">
        <f t="shared" si="29"/>
        <v>0</v>
      </c>
      <c r="YN5" s="10">
        <f t="shared" si="29"/>
        <v>0</v>
      </c>
      <c r="YO5" s="10">
        <f t="shared" si="29"/>
        <v>0</v>
      </c>
      <c r="YP5" s="10">
        <f t="shared" si="29"/>
        <v>0</v>
      </c>
      <c r="YQ5" s="10">
        <f t="shared" si="29"/>
        <v>0</v>
      </c>
      <c r="YR5" s="10">
        <f t="shared" si="29"/>
        <v>0</v>
      </c>
      <c r="YS5" s="10">
        <f t="shared" si="29"/>
        <v>156</v>
      </c>
      <c r="YT5" s="10">
        <f t="shared" si="29"/>
        <v>189</v>
      </c>
      <c r="YU5" s="10">
        <f t="shared" si="29"/>
        <v>223</v>
      </c>
      <c r="YV5" s="10">
        <f t="shared" si="29"/>
        <v>0</v>
      </c>
      <c r="YW5" s="10">
        <f t="shared" si="29"/>
        <v>33</v>
      </c>
      <c r="YX5" s="10">
        <f t="shared" si="29"/>
        <v>67</v>
      </c>
      <c r="YY5" s="10">
        <f t="shared" si="29"/>
        <v>100</v>
      </c>
      <c r="YZ5" s="10">
        <f>YZ4</f>
        <v>0</v>
      </c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  <c r="AAA5" s="10"/>
      <c r="AAB5" s="10"/>
      <c r="AAC5" s="10"/>
      <c r="AAD5" s="10"/>
      <c r="AAE5" s="10"/>
      <c r="AAF5" s="10"/>
      <c r="AAG5" s="10"/>
      <c r="AAH5" s="10"/>
      <c r="AAI5" s="10"/>
      <c r="AAJ5" s="10"/>
      <c r="AAK5" s="10"/>
      <c r="AAL5" s="10"/>
      <c r="AAM5" s="10"/>
      <c r="AAN5" s="10"/>
      <c r="AAO5" s="10"/>
      <c r="AAP5" s="10"/>
      <c r="AAQ5" s="10"/>
      <c r="AAR5" s="10"/>
      <c r="AAS5" s="10"/>
      <c r="AAT5" s="10"/>
      <c r="AAU5" s="10"/>
      <c r="AAV5" s="10"/>
      <c r="AAW5" s="10"/>
      <c r="AAX5" s="10"/>
      <c r="AAY5" s="10"/>
      <c r="AAZ5" s="10"/>
      <c r="ABA5" s="10"/>
      <c r="ABB5" s="10"/>
      <c r="ABC5" s="10"/>
      <c r="ABD5" s="10"/>
      <c r="ABE5" s="10"/>
      <c r="ABF5" s="10"/>
      <c r="ABG5" s="10"/>
      <c r="ABH5" s="10"/>
      <c r="ABI5" s="10"/>
      <c r="ABJ5" s="10"/>
      <c r="ABK5" s="10"/>
      <c r="ABL5" s="10"/>
      <c r="ABM5" s="10"/>
      <c r="ABN5" s="10"/>
      <c r="ABO5" s="10"/>
      <c r="ABP5" s="10"/>
      <c r="ABQ5" s="10"/>
      <c r="ABR5" s="10"/>
      <c r="ABS5" s="10"/>
      <c r="ABT5" s="10"/>
      <c r="ABU5" s="10"/>
      <c r="ABV5" s="10"/>
      <c r="ABW5" s="10"/>
      <c r="ABX5" s="10"/>
      <c r="ABY5" s="10"/>
      <c r="ABZ5" s="10"/>
      <c r="ACA5" s="10"/>
      <c r="ACB5" s="10"/>
      <c r="ACC5" s="10"/>
      <c r="ACD5" s="10"/>
      <c r="ACE5" s="10"/>
      <c r="ACF5" s="10"/>
      <c r="ACG5" s="10"/>
      <c r="ACH5" s="10"/>
      <c r="ACI5" s="10"/>
      <c r="ACJ5" s="10"/>
      <c r="ACK5" s="10"/>
      <c r="ACL5" s="10"/>
      <c r="ACM5" s="10"/>
      <c r="ACN5" s="10"/>
      <c r="ACO5" s="10"/>
      <c r="ACP5" s="10"/>
      <c r="ACQ5" s="10"/>
      <c r="ACR5" s="10"/>
      <c r="ACS5" s="10"/>
      <c r="ACT5" s="10"/>
      <c r="ACU5" s="10"/>
      <c r="ACV5" s="10"/>
      <c r="ACW5" s="10"/>
      <c r="ACX5" s="10"/>
      <c r="ACY5" s="10"/>
      <c r="ACZ5" s="10"/>
      <c r="ADA5" s="10"/>
      <c r="ADB5" s="10"/>
      <c r="ADC5" s="10"/>
      <c r="ADD5" s="10"/>
      <c r="ADE5" s="10"/>
      <c r="ADF5" s="10"/>
      <c r="ADG5" s="10"/>
      <c r="ADH5" s="10"/>
      <c r="ADI5" s="10"/>
      <c r="ADJ5" s="10"/>
      <c r="ADK5" s="10"/>
      <c r="ADL5" s="10"/>
      <c r="ADM5" s="10"/>
      <c r="ADN5" s="10"/>
      <c r="ADO5" s="10"/>
      <c r="ADP5" s="10"/>
      <c r="ADQ5" s="10"/>
      <c r="ADR5" s="10"/>
      <c r="ADS5" s="10"/>
      <c r="ADT5" s="10"/>
      <c r="ADU5" s="10"/>
      <c r="ADV5" s="10"/>
      <c r="ADW5" s="10"/>
      <c r="ADX5" s="10"/>
      <c r="ADY5" s="10"/>
      <c r="ADZ5" s="10"/>
      <c r="AEA5" s="10"/>
      <c r="AEB5" s="10"/>
      <c r="AEC5" s="10"/>
      <c r="AED5" s="10"/>
      <c r="AEE5" s="10"/>
      <c r="AEF5" s="10"/>
      <c r="AEG5" s="10"/>
      <c r="AEH5" s="10"/>
      <c r="AEI5" s="10"/>
      <c r="AEJ5" s="10"/>
      <c r="AEK5" s="10"/>
      <c r="AEL5" s="10"/>
      <c r="AEM5" s="10"/>
      <c r="AEN5" s="10"/>
      <c r="AEO5" s="10"/>
      <c r="AEP5" s="10"/>
      <c r="AEQ5" s="10"/>
      <c r="AER5" s="10"/>
      <c r="AES5" s="10"/>
      <c r="AET5" s="10"/>
      <c r="AEU5" s="10"/>
      <c r="AEV5" s="10"/>
      <c r="AEW5" s="10"/>
      <c r="AEX5" s="10"/>
      <c r="AEY5" s="10"/>
      <c r="AEZ5" s="10"/>
      <c r="AFA5" s="10"/>
      <c r="AFB5" s="10"/>
      <c r="AFC5" s="10"/>
      <c r="AFD5" s="10"/>
      <c r="AFE5" s="10"/>
      <c r="AFF5" s="10"/>
      <c r="AFG5" s="10"/>
      <c r="AFH5" s="10"/>
      <c r="AFI5" s="10"/>
      <c r="AFJ5" s="10"/>
      <c r="AFK5" s="10"/>
      <c r="AFL5" s="10"/>
      <c r="AFM5" s="10"/>
      <c r="AFN5" s="10"/>
      <c r="AFO5" s="10"/>
      <c r="AFP5" s="10"/>
      <c r="AFQ5" s="10"/>
      <c r="AFR5" s="10"/>
      <c r="AFS5" s="10"/>
      <c r="AFT5" s="10"/>
      <c r="AFU5" s="10"/>
      <c r="AFV5" s="10"/>
      <c r="AFW5" s="10"/>
      <c r="AFX5" s="10"/>
      <c r="AFY5" s="10"/>
      <c r="AFZ5" s="10"/>
      <c r="AGA5" s="10"/>
      <c r="AGB5" s="10"/>
      <c r="AGC5" s="10"/>
      <c r="AGD5" s="10"/>
      <c r="AGE5" s="10"/>
      <c r="AGF5" s="10"/>
      <c r="AGG5" s="10"/>
      <c r="AGH5" s="10"/>
      <c r="AGI5" s="10"/>
      <c r="AGJ5" s="10"/>
      <c r="AGK5" s="10"/>
      <c r="AGL5" s="10"/>
      <c r="AGM5" s="10"/>
      <c r="AGN5" s="10"/>
      <c r="AGO5" s="10"/>
      <c r="AGP5" s="10"/>
      <c r="AGQ5" s="10"/>
      <c r="AGR5" s="10"/>
      <c r="AGS5" s="10"/>
      <c r="AGT5" s="10"/>
      <c r="AGU5" s="10"/>
      <c r="AGV5" s="10"/>
      <c r="AGW5" s="10"/>
      <c r="AGX5" s="10"/>
      <c r="AGY5" s="10"/>
      <c r="AGZ5" s="10"/>
      <c r="AHA5" s="10"/>
      <c r="AHB5" s="10"/>
      <c r="AHC5" s="10"/>
      <c r="AHD5" s="10"/>
      <c r="AHE5" s="10"/>
      <c r="AHF5" s="10"/>
      <c r="AHG5" s="10"/>
      <c r="AHH5" s="10"/>
      <c r="AHI5" s="10"/>
      <c r="AHJ5" s="10"/>
      <c r="AHK5" s="10"/>
      <c r="AHL5" s="10"/>
      <c r="AHM5" s="10"/>
      <c r="AHN5" s="10"/>
      <c r="AHO5" s="10"/>
      <c r="AHP5" s="10"/>
      <c r="AHQ5" s="10"/>
      <c r="AHR5" s="10"/>
      <c r="AHS5" s="10"/>
      <c r="AHT5" s="10"/>
      <c r="AHU5" s="10"/>
      <c r="AHV5" s="10"/>
      <c r="AHW5" s="10"/>
      <c r="AHX5" s="10"/>
      <c r="AHY5" s="10"/>
      <c r="AHZ5" s="10"/>
      <c r="AIA5" s="10"/>
      <c r="AIB5" s="10"/>
      <c r="AIC5" s="10"/>
      <c r="AID5" s="10"/>
      <c r="AIE5" s="10"/>
      <c r="AIF5" s="10"/>
      <c r="AIG5" s="10"/>
      <c r="AIH5" s="10"/>
      <c r="AII5" s="10"/>
      <c r="AIJ5" s="10"/>
      <c r="AIK5" s="10"/>
      <c r="AIL5" s="10"/>
      <c r="AIM5" s="10"/>
      <c r="AIN5" s="10"/>
      <c r="AIO5" s="10"/>
      <c r="AIP5" s="10"/>
      <c r="AIQ5" s="10"/>
      <c r="AIR5" s="10"/>
      <c r="AIS5" s="10"/>
      <c r="AIT5" s="10"/>
      <c r="AIU5" s="10"/>
      <c r="AIV5" s="10"/>
      <c r="AIW5" s="10"/>
      <c r="AIX5" s="10"/>
      <c r="AIY5" s="10"/>
      <c r="AIZ5" s="10"/>
      <c r="AJA5" s="10"/>
      <c r="AJB5" s="10"/>
      <c r="AJC5" s="10"/>
      <c r="AJD5" s="10"/>
      <c r="AJE5" s="10"/>
      <c r="AJF5" s="10"/>
      <c r="AJG5" s="10"/>
      <c r="AJH5" s="10"/>
      <c r="AJI5" s="10"/>
      <c r="AJJ5" s="10"/>
      <c r="AJK5" s="10"/>
      <c r="AJL5" s="10"/>
      <c r="AJM5" s="10"/>
      <c r="AJN5" s="10"/>
      <c r="AJO5" s="10"/>
      <c r="AJP5" s="10"/>
      <c r="AJQ5" s="10"/>
      <c r="AJR5" s="10"/>
      <c r="AJS5" s="10"/>
      <c r="AJT5" s="10"/>
      <c r="AJU5" s="10"/>
      <c r="AJV5" s="10"/>
      <c r="AJW5" s="10"/>
      <c r="AJX5" s="10"/>
      <c r="AJY5" s="10"/>
      <c r="AJZ5" s="10"/>
      <c r="AKA5" s="10"/>
      <c r="AKB5" s="10"/>
      <c r="AKC5" s="10"/>
      <c r="AKD5" s="10"/>
      <c r="AKE5" s="10"/>
      <c r="AKF5" s="10"/>
      <c r="AKG5" s="10"/>
      <c r="AKH5" s="10"/>
      <c r="AKI5" s="10"/>
      <c r="AKJ5" s="10"/>
      <c r="AKK5" s="10"/>
      <c r="AKL5" s="10"/>
      <c r="AKM5" s="10"/>
      <c r="AKN5" s="10"/>
      <c r="AKO5" s="10"/>
      <c r="AKP5" s="10"/>
      <c r="AKQ5" s="10"/>
      <c r="AKR5" s="10"/>
      <c r="AKS5" s="10"/>
      <c r="AKT5" s="10"/>
      <c r="AKU5" s="10"/>
      <c r="AKV5" s="10"/>
      <c r="AKW5" s="10"/>
      <c r="AKX5" s="10"/>
      <c r="AKY5" s="10"/>
      <c r="AKZ5" s="10"/>
      <c r="ALA5" s="10"/>
      <c r="ALB5" s="10"/>
      <c r="ALC5" s="10"/>
      <c r="ALD5" s="10"/>
      <c r="ALE5" s="10"/>
      <c r="ALF5" s="10"/>
      <c r="ALG5" s="10"/>
      <c r="ALH5" s="10"/>
      <c r="ALI5" s="10"/>
      <c r="ALJ5" s="10"/>
      <c r="ALK5" s="10"/>
      <c r="ALL5" s="10"/>
      <c r="ALM5" s="10"/>
      <c r="ALN5" s="10"/>
      <c r="ALO5" s="10"/>
      <c r="ALP5" s="10"/>
      <c r="ALQ5" s="10"/>
      <c r="ALR5" s="10"/>
      <c r="ALS5" s="10"/>
      <c r="ALT5" s="10"/>
      <c r="ALU5" s="10"/>
      <c r="ALV5" s="10"/>
      <c r="ALW5" s="10"/>
      <c r="ALX5" s="10"/>
      <c r="ALY5" s="10"/>
      <c r="ALZ5" s="10"/>
      <c r="AMA5" s="10"/>
      <c r="AMB5" s="10"/>
      <c r="AMC5" s="10"/>
      <c r="AMD5" s="10"/>
      <c r="AME5" s="10"/>
      <c r="AMF5" s="10"/>
      <c r="AMG5" s="10"/>
      <c r="AMH5" s="10"/>
      <c r="AMI5" s="10"/>
      <c r="AMJ5" s="10"/>
      <c r="AMK5" s="10"/>
      <c r="AML5" s="10"/>
      <c r="AMM5" s="10"/>
      <c r="AMN5" s="10"/>
      <c r="AMO5" s="10"/>
      <c r="AMP5" s="10"/>
      <c r="AMQ5" s="10"/>
      <c r="AMR5" s="10"/>
      <c r="AMS5" s="10"/>
      <c r="AMT5" s="10"/>
      <c r="AMU5" s="10"/>
      <c r="AMV5" s="10"/>
      <c r="AMW5" s="10"/>
      <c r="AMX5" s="10"/>
      <c r="AMY5" s="10"/>
      <c r="AMZ5" s="10"/>
      <c r="ANA5" s="10"/>
      <c r="ANB5" s="10"/>
      <c r="ANC5" s="10"/>
      <c r="AND5" s="10"/>
      <c r="ANE5" s="10"/>
      <c r="ANF5" s="10"/>
      <c r="ANG5" s="10"/>
      <c r="ANH5" s="10"/>
      <c r="ANI5" s="10"/>
      <c r="ANJ5" s="10"/>
      <c r="ANK5" s="10"/>
      <c r="ANL5" s="10"/>
      <c r="ANM5" s="10"/>
      <c r="ANN5" s="10"/>
      <c r="ANO5" s="10"/>
      <c r="ANP5" s="10"/>
      <c r="ANQ5" s="10"/>
      <c r="ANR5" s="10"/>
      <c r="ANS5" s="10"/>
      <c r="ANT5" s="10"/>
      <c r="ANU5" s="10"/>
      <c r="ANV5" s="10"/>
      <c r="ANW5" s="10"/>
      <c r="ANX5" s="10"/>
      <c r="ANY5" s="10"/>
      <c r="ANZ5" s="10"/>
      <c r="AOA5" s="10"/>
      <c r="AOB5" s="10"/>
      <c r="AOC5" s="10"/>
      <c r="AOD5" s="10"/>
      <c r="AOE5" s="10"/>
      <c r="AOF5" s="10"/>
      <c r="AOG5" s="10"/>
      <c r="AOH5" s="10"/>
      <c r="AOI5" s="10"/>
      <c r="AOJ5" s="10"/>
      <c r="AOK5" s="10"/>
      <c r="AOL5" s="10"/>
      <c r="AOM5" s="10"/>
      <c r="AON5" s="10"/>
      <c r="AOO5" s="10"/>
      <c r="AOP5" s="10"/>
      <c r="AOQ5" s="10"/>
      <c r="AOR5" s="10"/>
      <c r="AOS5" s="10"/>
      <c r="AOT5" s="10"/>
      <c r="AOU5" s="10"/>
      <c r="AOV5" s="10"/>
      <c r="AOW5" s="10"/>
      <c r="AOX5" s="10"/>
      <c r="AOY5" s="10"/>
      <c r="AOZ5" s="10"/>
      <c r="APA5" s="10"/>
      <c r="APB5" s="10"/>
      <c r="APC5" s="10"/>
      <c r="APD5" s="10"/>
      <c r="APE5" s="10"/>
      <c r="APF5" s="10"/>
      <c r="APG5" s="10"/>
      <c r="APH5" s="10"/>
      <c r="API5" s="10"/>
      <c r="APJ5" s="10"/>
      <c r="APK5" s="10"/>
      <c r="APL5" s="10"/>
      <c r="APM5" s="10"/>
      <c r="APN5" s="10"/>
      <c r="APO5" s="10"/>
      <c r="APP5" s="10"/>
      <c r="APQ5" s="10"/>
      <c r="APR5" s="10"/>
      <c r="APS5" s="10"/>
      <c r="APT5" s="10"/>
      <c r="APU5" s="10"/>
      <c r="APV5" s="10"/>
      <c r="APW5" s="10"/>
      <c r="APX5" s="10"/>
      <c r="APY5" s="10"/>
      <c r="APZ5" s="10"/>
      <c r="AQA5" s="10"/>
      <c r="AQB5" s="10"/>
      <c r="AQC5" s="10"/>
      <c r="AQD5" s="10"/>
      <c r="AQE5" s="10"/>
      <c r="AQF5" s="10"/>
      <c r="AQG5" s="10"/>
      <c r="AQH5" s="10"/>
      <c r="AQI5" s="10"/>
      <c r="AQJ5" s="10"/>
      <c r="AQK5" s="10"/>
      <c r="AQL5" s="10"/>
      <c r="AQM5" s="10"/>
      <c r="AQN5" s="10"/>
      <c r="AQO5" s="10"/>
      <c r="AQP5" s="10"/>
      <c r="AQQ5" s="10"/>
      <c r="AQR5" s="10"/>
      <c r="AQS5" s="10"/>
      <c r="AQT5" s="10"/>
      <c r="AQU5" s="10"/>
      <c r="AQV5" s="10"/>
      <c r="AQW5" s="10"/>
      <c r="AQX5" s="10"/>
      <c r="AQY5" s="10"/>
      <c r="AQZ5" s="10"/>
      <c r="ARA5" s="10"/>
      <c r="ARB5" s="10"/>
      <c r="ARC5" s="10"/>
      <c r="ARD5" s="10"/>
      <c r="ARE5" s="10"/>
      <c r="ARF5" s="10"/>
      <c r="ARG5" s="10"/>
      <c r="ARH5" s="10"/>
      <c r="ARI5" s="10"/>
      <c r="ARJ5" s="10"/>
      <c r="ARK5" s="10"/>
      <c r="ARL5" s="10"/>
      <c r="ARM5" s="10"/>
      <c r="ARN5" s="10"/>
      <c r="ARO5" s="10"/>
      <c r="ARP5" s="10"/>
      <c r="ARQ5" s="10"/>
      <c r="ARR5" s="10"/>
      <c r="ARS5" s="10"/>
      <c r="ART5" s="10"/>
      <c r="ARU5" s="10"/>
      <c r="ARV5" s="10"/>
      <c r="ARW5" s="10"/>
      <c r="ARX5" s="10"/>
      <c r="ARY5" s="10"/>
      <c r="ARZ5" s="10"/>
      <c r="ASA5" s="10"/>
      <c r="ASB5" s="10"/>
      <c r="ASC5" s="10"/>
      <c r="ASD5" s="10"/>
      <c r="ASE5" s="10"/>
      <c r="ASF5" s="10"/>
      <c r="ASG5" s="10"/>
      <c r="ASH5" s="10"/>
      <c r="ASI5" s="10"/>
      <c r="ASJ5" s="10"/>
      <c r="ASK5" s="10"/>
      <c r="ASL5" s="10"/>
      <c r="ASM5" s="10"/>
      <c r="ASN5" s="10"/>
      <c r="ASO5" s="10"/>
      <c r="ASP5" s="10"/>
      <c r="ASQ5" s="10"/>
      <c r="ASR5" s="10"/>
      <c r="ASS5" s="10"/>
      <c r="AST5" s="10"/>
      <c r="ASU5" s="10"/>
      <c r="ASV5" s="10"/>
      <c r="ASW5" s="10"/>
      <c r="ASX5" s="10"/>
      <c r="ASY5" s="10"/>
      <c r="ASZ5" s="10"/>
      <c r="ATA5" s="10"/>
      <c r="ATB5" s="10"/>
      <c r="ATC5" s="10"/>
      <c r="ATD5" s="10"/>
      <c r="ATE5" s="10"/>
      <c r="ATF5" s="10"/>
      <c r="ATG5" s="10"/>
      <c r="ATH5" s="10"/>
      <c r="ATI5" s="10"/>
      <c r="ATJ5" s="10"/>
      <c r="ATK5" s="10"/>
      <c r="ATL5" s="10"/>
      <c r="ATM5" s="10"/>
      <c r="ATN5" s="10"/>
      <c r="ATO5" s="10"/>
      <c r="ATP5" s="10"/>
      <c r="ATQ5" s="10"/>
      <c r="ATR5" s="10"/>
      <c r="ATS5" s="10"/>
      <c r="ATT5" s="10"/>
      <c r="ATU5" s="10"/>
      <c r="ATV5" s="10"/>
      <c r="ATW5" s="10"/>
      <c r="ATX5" s="10"/>
      <c r="ATY5" s="10"/>
      <c r="ATZ5" s="10"/>
      <c r="AUA5" s="10"/>
      <c r="AUB5" s="10"/>
      <c r="AUC5" s="10"/>
      <c r="AUD5" s="10"/>
      <c r="AUE5" s="10"/>
      <c r="AUF5" s="10"/>
      <c r="AUG5" s="10"/>
      <c r="AUH5" s="10"/>
      <c r="AUI5" s="10"/>
      <c r="AUJ5" s="10"/>
      <c r="AUK5" s="10"/>
      <c r="AUL5" s="10"/>
      <c r="AUM5" s="10"/>
      <c r="AUN5" s="10"/>
      <c r="AUO5" s="10"/>
      <c r="AUP5" s="10"/>
      <c r="AUQ5" s="10"/>
      <c r="AUR5" s="10"/>
      <c r="AUS5" s="10"/>
      <c r="AUT5" s="10"/>
      <c r="AUU5" s="10"/>
      <c r="AUV5" s="10"/>
      <c r="AUW5" s="10"/>
      <c r="AUX5" s="10"/>
      <c r="AUY5" s="10"/>
      <c r="AUZ5" s="10"/>
      <c r="AVA5" s="10"/>
      <c r="AVB5" s="10"/>
      <c r="AVC5" s="10"/>
      <c r="AVD5" s="10"/>
      <c r="AVE5" s="10"/>
      <c r="AVF5" s="10"/>
      <c r="AVG5" s="10"/>
      <c r="AVH5" s="10"/>
      <c r="AVI5" s="10"/>
      <c r="AVJ5" s="10"/>
      <c r="AVK5" s="10"/>
      <c r="AVL5" s="10"/>
      <c r="AVM5" s="10"/>
      <c r="AVN5" s="10"/>
      <c r="AVO5" s="10"/>
      <c r="AVP5" s="10"/>
      <c r="AVQ5" s="10"/>
      <c r="AVR5" s="10"/>
      <c r="AVS5" s="10"/>
      <c r="AVT5" s="10"/>
      <c r="AVU5" s="10"/>
      <c r="AVV5" s="10"/>
      <c r="AVW5" s="10"/>
      <c r="AVX5" s="10"/>
      <c r="AVY5" s="10"/>
      <c r="AVZ5" s="10"/>
      <c r="AWA5" s="10"/>
      <c r="AWB5" s="10"/>
      <c r="AWC5" s="10"/>
      <c r="AWD5" s="10"/>
      <c r="AWE5" s="10"/>
      <c r="AWF5" s="10"/>
      <c r="AWG5" s="10"/>
      <c r="AWH5" s="10"/>
      <c r="AWI5" s="10"/>
      <c r="AWJ5" s="10"/>
      <c r="AWK5" s="10"/>
      <c r="AWL5" s="10"/>
      <c r="AWM5" s="10"/>
      <c r="AWN5" s="10"/>
      <c r="AWO5" s="10"/>
      <c r="AWP5" s="10"/>
      <c r="AWQ5" s="10"/>
      <c r="AWR5" s="10"/>
      <c r="AWS5" s="10"/>
      <c r="AWT5" s="10"/>
      <c r="AWU5" s="10"/>
      <c r="AWV5" s="10"/>
      <c r="AWW5" s="10"/>
      <c r="AWX5" s="10"/>
      <c r="AWY5" s="10"/>
      <c r="AWZ5" s="10"/>
      <c r="AXA5" s="10"/>
      <c r="AXB5" s="10"/>
      <c r="AXC5" s="10"/>
      <c r="AXD5" s="10"/>
      <c r="AXE5" s="10"/>
      <c r="AXF5" s="10"/>
      <c r="AXG5" s="10"/>
      <c r="AXH5" s="10"/>
      <c r="AXI5" s="10"/>
      <c r="AXJ5" s="10"/>
      <c r="AXK5" s="10"/>
      <c r="AXL5" s="10"/>
      <c r="AXM5" s="10"/>
      <c r="AXN5" s="10"/>
      <c r="AXO5" s="10"/>
      <c r="AXP5" s="10"/>
      <c r="AXQ5" s="10"/>
      <c r="AXR5" s="10"/>
      <c r="AXS5" s="10"/>
      <c r="AXT5" s="10"/>
      <c r="AXU5" s="10"/>
      <c r="AXV5" s="10"/>
      <c r="AXW5" s="10"/>
      <c r="AXX5" s="10"/>
      <c r="AXY5" s="10"/>
      <c r="AXZ5" s="10"/>
      <c r="AYA5" s="10"/>
      <c r="AYB5" s="10"/>
      <c r="AYC5" s="10"/>
      <c r="AYD5" s="10"/>
      <c r="AYE5" s="10"/>
      <c r="AYF5" s="10"/>
      <c r="AYG5" s="10"/>
      <c r="AYH5" s="10"/>
      <c r="AYI5" s="10"/>
      <c r="AYJ5" s="10"/>
      <c r="AYK5" s="10"/>
      <c r="AYL5" s="10"/>
      <c r="AYM5" s="10"/>
      <c r="AYN5" s="10"/>
      <c r="AYO5" s="10"/>
      <c r="AYP5" s="10"/>
      <c r="AYQ5" s="10"/>
      <c r="AYR5" s="10"/>
      <c r="AYS5" s="10"/>
      <c r="AYT5" s="10"/>
      <c r="AYU5" s="10"/>
      <c r="AYV5" s="10"/>
      <c r="AYW5" s="10"/>
      <c r="AYX5" s="10"/>
      <c r="AYY5" s="10"/>
      <c r="AYZ5" s="10"/>
      <c r="AZA5" s="10"/>
      <c r="AZB5" s="10"/>
      <c r="AZC5" s="10"/>
      <c r="AZD5" s="10"/>
      <c r="AZE5" s="10"/>
      <c r="AZF5" s="10"/>
      <c r="AZG5" s="10"/>
      <c r="AZH5" s="10"/>
      <c r="AZI5" s="10"/>
      <c r="AZJ5" s="10"/>
      <c r="AZK5" s="10"/>
      <c r="AZL5" s="10"/>
      <c r="AZM5" s="10"/>
      <c r="AZN5" s="10"/>
      <c r="AZO5" s="10"/>
      <c r="AZP5" s="10"/>
      <c r="AZQ5" s="10"/>
      <c r="AZR5" s="10"/>
      <c r="AZS5" s="10"/>
      <c r="AZT5" s="10"/>
      <c r="AZU5" s="10"/>
      <c r="AZV5" s="10"/>
      <c r="AZW5" s="10"/>
      <c r="AZX5" s="10"/>
      <c r="AZY5" s="10"/>
      <c r="AZZ5" s="10"/>
      <c r="BAA5" s="10"/>
      <c r="BAB5" s="10"/>
      <c r="BAC5" s="10"/>
      <c r="BAD5" s="10"/>
      <c r="BAE5" s="10"/>
      <c r="BAF5" s="10"/>
      <c r="BAG5" s="10"/>
      <c r="BAH5" s="10"/>
      <c r="BAI5" s="10"/>
      <c r="BAJ5" s="10"/>
      <c r="BAK5" s="10"/>
      <c r="BAL5" s="10"/>
      <c r="BAM5" s="10"/>
      <c r="BAN5" s="10"/>
      <c r="BAO5" s="10"/>
      <c r="BAP5" s="10"/>
      <c r="BAQ5" s="10"/>
      <c r="BAR5" s="10"/>
      <c r="BAS5" s="10"/>
      <c r="BAT5" s="10"/>
      <c r="BAU5" s="10"/>
      <c r="BAV5" s="10"/>
      <c r="BAW5" s="10"/>
      <c r="BAX5" s="10"/>
      <c r="BAY5" s="10"/>
      <c r="BAZ5" s="10"/>
      <c r="BBA5" s="10"/>
      <c r="BBB5" s="10"/>
      <c r="BBC5" s="10"/>
      <c r="BBD5" s="10"/>
      <c r="BBE5" s="10"/>
      <c r="BBF5" s="10"/>
      <c r="BBG5" s="10"/>
      <c r="BBH5" s="10"/>
      <c r="BBI5" s="10"/>
      <c r="BBJ5" s="10"/>
      <c r="BBK5" s="10"/>
      <c r="BBL5" s="10"/>
      <c r="BBM5" s="10"/>
      <c r="BBN5" s="10"/>
      <c r="BBO5" s="10"/>
      <c r="BBP5" s="10"/>
      <c r="BBQ5" s="10"/>
      <c r="BBR5" s="10"/>
      <c r="BBS5" s="10"/>
      <c r="BBT5" s="10"/>
      <c r="BBU5" s="10"/>
      <c r="BBV5" s="10"/>
      <c r="BBW5" s="10"/>
      <c r="BBX5" s="10"/>
      <c r="BBY5" s="10"/>
      <c r="BBZ5" s="10"/>
      <c r="BCA5" s="10"/>
      <c r="BCB5" s="10"/>
      <c r="BCC5" s="10"/>
      <c r="BCD5" s="10"/>
      <c r="BCE5" s="10"/>
      <c r="BCF5" s="10"/>
      <c r="BCG5" s="10"/>
      <c r="BCH5" s="10"/>
      <c r="BCI5" s="10"/>
      <c r="BCJ5" s="10"/>
      <c r="BCK5" s="10"/>
      <c r="BCL5" s="10"/>
      <c r="BCM5" s="10"/>
      <c r="BCN5" s="10"/>
      <c r="BCO5" s="10"/>
      <c r="BCP5" s="10"/>
      <c r="BCQ5" s="10"/>
      <c r="BCR5" s="10"/>
      <c r="BCS5" s="10"/>
      <c r="BCT5" s="10"/>
      <c r="BCU5" s="10"/>
      <c r="BCV5" s="10"/>
      <c r="BCW5" s="10"/>
      <c r="BCX5" s="10"/>
      <c r="BCY5" s="10"/>
      <c r="BCZ5" s="10"/>
      <c r="BDA5" s="10"/>
      <c r="BDB5" s="10"/>
      <c r="BDC5" s="10"/>
      <c r="BDD5" s="10"/>
      <c r="BDE5" s="10"/>
      <c r="BDF5" s="10"/>
      <c r="BDG5" s="10"/>
      <c r="BDH5" s="10"/>
      <c r="BDI5" s="10"/>
      <c r="BDJ5" s="10"/>
      <c r="BDK5" s="10"/>
      <c r="BDL5" s="10"/>
      <c r="BDM5" s="10"/>
      <c r="BDN5" s="10"/>
      <c r="BDO5" s="10"/>
      <c r="BDP5" s="10"/>
      <c r="BDQ5" s="10"/>
      <c r="BDR5" s="10"/>
      <c r="BDS5" s="10"/>
      <c r="BDT5" s="10"/>
      <c r="BDU5" s="10"/>
      <c r="BDV5" s="10"/>
      <c r="BDW5" s="10"/>
      <c r="BDX5" s="10"/>
      <c r="BDY5" s="10"/>
      <c r="BDZ5" s="10"/>
      <c r="BEA5" s="10"/>
      <c r="BEB5" s="10"/>
      <c r="BEC5" s="10"/>
      <c r="BED5" s="10"/>
      <c r="BEE5" s="10"/>
      <c r="BEF5" s="10"/>
      <c r="BEG5" s="10"/>
      <c r="BEH5" s="10"/>
      <c r="BEI5" s="10"/>
      <c r="BEJ5" s="10"/>
      <c r="BEK5" s="10"/>
      <c r="BEL5" s="10"/>
      <c r="BEM5" s="10"/>
      <c r="BEN5" s="10"/>
      <c r="BEO5" s="10"/>
      <c r="BEP5" s="10"/>
      <c r="BEQ5" s="10"/>
      <c r="BER5" s="10"/>
      <c r="BES5" s="10"/>
      <c r="BET5" s="10"/>
      <c r="BEU5" s="10"/>
      <c r="BEV5" s="10"/>
      <c r="BEW5" s="10"/>
      <c r="BEX5" s="10"/>
      <c r="BEY5" s="10"/>
      <c r="BEZ5" s="10"/>
      <c r="BFA5" s="10"/>
      <c r="BFB5" s="10"/>
      <c r="BFC5" s="10"/>
      <c r="BFD5" s="10"/>
      <c r="BFE5" s="10"/>
      <c r="BFF5" s="10"/>
      <c r="BFG5" s="10"/>
      <c r="BFH5" s="10"/>
      <c r="BFI5" s="10"/>
      <c r="BFJ5" s="10"/>
      <c r="BFK5" s="10"/>
      <c r="BFL5" s="10"/>
      <c r="BFM5" s="10"/>
      <c r="BFN5" s="10"/>
      <c r="BFO5" s="10"/>
      <c r="BFP5" s="10"/>
      <c r="BFQ5" s="10"/>
      <c r="BFR5" s="10"/>
      <c r="BFS5" s="10"/>
      <c r="BFT5" s="10"/>
      <c r="BFU5" s="10"/>
      <c r="BFV5" s="10"/>
      <c r="BFW5" s="10"/>
      <c r="BFX5" s="10"/>
      <c r="BFY5" s="10"/>
      <c r="BFZ5" s="10"/>
      <c r="BGA5" s="10"/>
      <c r="BGB5" s="10"/>
      <c r="BGC5" s="10"/>
      <c r="BGD5" s="10"/>
      <c r="BGE5" s="10"/>
      <c r="BGF5" s="10"/>
      <c r="BGG5" s="10"/>
      <c r="BGH5" s="10"/>
      <c r="BGI5" s="10"/>
      <c r="BGJ5" s="10"/>
      <c r="BGK5" s="10"/>
      <c r="BGL5" s="10"/>
      <c r="BGM5" s="10"/>
      <c r="BGN5" s="10"/>
      <c r="BGO5" s="10"/>
      <c r="BGP5" s="10"/>
      <c r="BGQ5" s="10"/>
      <c r="BGR5" s="10"/>
      <c r="BGS5" s="10"/>
      <c r="BGT5" s="10"/>
      <c r="BGU5" s="10"/>
      <c r="BGV5" s="10"/>
      <c r="BGW5" s="10"/>
      <c r="BGX5" s="10"/>
      <c r="BGY5" s="10"/>
      <c r="BGZ5" s="10"/>
      <c r="BHA5" s="10"/>
      <c r="BHB5" s="10"/>
      <c r="BHC5" s="10"/>
      <c r="BHD5" s="10"/>
      <c r="BHE5" s="10"/>
      <c r="BHF5" s="10"/>
      <c r="BHG5" s="10"/>
      <c r="BHH5" s="10"/>
      <c r="BHI5" s="10"/>
      <c r="BHJ5" s="10"/>
      <c r="BHK5" s="10"/>
      <c r="BHL5" s="10"/>
      <c r="BHM5" s="10"/>
      <c r="BHN5" s="10"/>
      <c r="BHO5" s="10"/>
      <c r="BHP5" s="10"/>
      <c r="BHQ5" s="10"/>
      <c r="BHR5" s="10"/>
      <c r="BHS5" s="10"/>
      <c r="BHT5" s="10"/>
      <c r="BHU5" s="10"/>
      <c r="BHV5" s="10"/>
      <c r="BHW5" s="10"/>
      <c r="BHX5" s="10"/>
      <c r="BHY5" s="10"/>
      <c r="BHZ5" s="10"/>
      <c r="BIA5" s="10"/>
      <c r="BIB5" s="10"/>
      <c r="BIC5" s="10"/>
      <c r="BID5" s="10"/>
      <c r="BIE5" s="10"/>
      <c r="BIF5" s="10"/>
      <c r="BIG5" s="10"/>
      <c r="BIH5" s="10"/>
      <c r="BII5" s="10"/>
      <c r="BIJ5" s="10"/>
      <c r="BIK5" s="10"/>
      <c r="BIL5" s="10"/>
      <c r="BIM5" s="10"/>
      <c r="BIN5" s="10"/>
      <c r="BIO5" s="10"/>
      <c r="BIP5" s="10"/>
      <c r="BIQ5" s="10"/>
      <c r="BIR5" s="10"/>
      <c r="BIS5" s="10"/>
      <c r="BIT5" s="10"/>
      <c r="BIU5" s="10"/>
      <c r="BIV5" s="10"/>
      <c r="BIW5" s="10"/>
      <c r="BIX5" s="10"/>
      <c r="BIY5" s="10"/>
      <c r="BIZ5" s="10"/>
      <c r="BJA5" s="10"/>
      <c r="BJB5" s="10"/>
      <c r="BJC5" s="10"/>
      <c r="BJD5" s="10"/>
      <c r="BJE5" s="10"/>
      <c r="BJF5" s="10"/>
      <c r="BJG5" s="10"/>
      <c r="BJH5" s="10"/>
      <c r="BJI5" s="10"/>
      <c r="BJJ5" s="10"/>
      <c r="BJK5" s="10"/>
      <c r="BJL5" s="10"/>
      <c r="BJM5" s="10"/>
      <c r="BJN5" s="10"/>
      <c r="BJO5" s="10"/>
      <c r="BJP5" s="10"/>
      <c r="BJQ5" s="10"/>
      <c r="BJR5" s="10"/>
      <c r="BJS5" s="10"/>
      <c r="BJT5" s="10"/>
      <c r="BJU5" s="10"/>
      <c r="BJV5" s="10"/>
      <c r="BJW5" s="10"/>
      <c r="BJX5" s="10"/>
      <c r="BJY5" s="10"/>
      <c r="BJZ5" s="10"/>
      <c r="BKA5" s="10"/>
      <c r="BKB5" s="10"/>
      <c r="BKC5" s="10"/>
      <c r="BKD5" s="10"/>
      <c r="BKE5" s="10"/>
      <c r="BKF5" s="10"/>
      <c r="BKG5" s="10"/>
      <c r="BKH5" s="10"/>
      <c r="BKI5" s="10"/>
      <c r="BKJ5" s="10"/>
      <c r="BKK5" s="10"/>
      <c r="BKL5" s="10"/>
      <c r="BKM5" s="10"/>
      <c r="BKN5" s="10"/>
      <c r="BKO5" s="10"/>
      <c r="BKP5" s="10"/>
      <c r="BKQ5" s="10"/>
      <c r="BKR5" s="10"/>
      <c r="BKS5" s="10"/>
      <c r="BKT5" s="10"/>
      <c r="BKU5" s="10"/>
      <c r="BKV5" s="10"/>
      <c r="BKW5" s="10"/>
      <c r="BKX5" s="10"/>
      <c r="BKY5" s="10"/>
      <c r="BKZ5" s="10"/>
      <c r="BLA5" s="10"/>
      <c r="BLB5" s="10"/>
      <c r="BLC5" s="10"/>
      <c r="BLD5" s="10"/>
      <c r="BLE5" s="10"/>
      <c r="BLF5" s="10"/>
      <c r="BLG5" s="10"/>
      <c r="BLH5" s="10"/>
      <c r="BLI5" s="10"/>
      <c r="BLJ5" s="10"/>
      <c r="BLK5" s="10"/>
      <c r="BLL5" s="10"/>
      <c r="BLM5" s="10"/>
      <c r="BLN5" s="10"/>
      <c r="BLO5" s="10"/>
      <c r="BLP5" s="10"/>
      <c r="BLQ5" s="10"/>
      <c r="BLR5" s="10"/>
      <c r="BLS5" s="10"/>
      <c r="BLT5" s="10"/>
      <c r="BLU5" s="10"/>
      <c r="BLV5" s="10"/>
      <c r="BLW5" s="10"/>
      <c r="BLX5" s="10"/>
      <c r="BLY5" s="10"/>
      <c r="BLZ5" s="10"/>
      <c r="BMA5" s="10"/>
      <c r="BMB5" s="10"/>
      <c r="BMC5" s="10"/>
      <c r="BMD5" s="10"/>
      <c r="BME5" s="10"/>
      <c r="BMF5" s="10"/>
      <c r="BMG5" s="10"/>
      <c r="BMH5" s="10"/>
      <c r="BMI5" s="10"/>
      <c r="BMJ5" s="10"/>
      <c r="BMK5" s="10"/>
      <c r="BML5" s="10"/>
      <c r="BMM5" s="10"/>
      <c r="BMN5" s="10"/>
      <c r="BMO5" s="10"/>
      <c r="BMP5" s="10"/>
      <c r="BMQ5" s="10"/>
      <c r="BMR5" s="10"/>
      <c r="BMS5" s="10"/>
      <c r="BMT5" s="10"/>
      <c r="BMU5" s="10"/>
      <c r="BMV5" s="10"/>
      <c r="BMW5" s="10"/>
      <c r="BMX5" s="10"/>
      <c r="BMY5" s="10"/>
      <c r="BMZ5" s="10"/>
      <c r="BNA5" s="10"/>
      <c r="BNB5" s="10"/>
      <c r="BNC5" s="10"/>
      <c r="BND5" s="10"/>
      <c r="BNE5" s="10"/>
      <c r="BNF5" s="10"/>
      <c r="BNG5" s="10"/>
      <c r="BNH5" s="10"/>
      <c r="BNI5" s="10"/>
      <c r="BNJ5" s="10"/>
      <c r="BNK5" s="10"/>
      <c r="BNL5" s="10"/>
      <c r="BNM5" s="10"/>
      <c r="BNN5" s="10"/>
      <c r="BNO5" s="10"/>
      <c r="BNP5" s="10"/>
      <c r="BNQ5" s="10"/>
      <c r="BNR5" s="10"/>
      <c r="BNS5" s="10"/>
      <c r="BNT5" s="10"/>
      <c r="BNU5" s="10"/>
      <c r="BNV5" s="10"/>
      <c r="BNW5" s="10"/>
      <c r="BNX5" s="10"/>
      <c r="BNY5" s="10"/>
      <c r="BNZ5" s="10"/>
      <c r="BOA5" s="10"/>
      <c r="BOB5" s="10"/>
      <c r="BOC5" s="10"/>
      <c r="BOD5" s="10"/>
      <c r="BOE5" s="10"/>
      <c r="BOF5" s="10"/>
      <c r="BOG5" s="10"/>
      <c r="BOH5" s="10"/>
      <c r="BOI5" s="10"/>
      <c r="BOJ5" s="10"/>
      <c r="BOK5" s="10"/>
      <c r="BOL5" s="10"/>
      <c r="BOM5" s="10"/>
      <c r="BON5" s="10"/>
      <c r="BOO5" s="10"/>
      <c r="BOP5" s="10"/>
      <c r="BOQ5" s="10"/>
      <c r="BOR5" s="10"/>
      <c r="BOS5" s="10"/>
      <c r="BOT5" s="10"/>
      <c r="BOU5" s="10"/>
      <c r="BOV5" s="10"/>
      <c r="BOW5" s="10"/>
      <c r="BOX5" s="10"/>
      <c r="BOY5" s="10"/>
      <c r="BOZ5" s="10"/>
      <c r="BPA5" s="10"/>
      <c r="BPB5" s="10"/>
      <c r="BPC5" s="10"/>
      <c r="BPD5" s="10"/>
      <c r="BPE5" s="10"/>
      <c r="BPF5" s="10"/>
      <c r="BPG5" s="10"/>
      <c r="BPH5" s="10"/>
      <c r="BPI5" s="10"/>
      <c r="BPJ5" s="10"/>
      <c r="BPK5" s="10"/>
      <c r="BPL5" s="10"/>
      <c r="BPM5" s="10"/>
      <c r="BPN5" s="10"/>
      <c r="BPO5" s="10"/>
      <c r="BPP5" s="10"/>
      <c r="BPQ5" s="10"/>
      <c r="BPR5" s="10"/>
      <c r="BPS5" s="10"/>
      <c r="BPT5" s="10"/>
      <c r="BPU5" s="10"/>
      <c r="BPV5" s="10"/>
      <c r="BPW5" s="10"/>
      <c r="BPX5" s="10"/>
      <c r="BPY5" s="10"/>
      <c r="BPZ5" s="10"/>
      <c r="BQA5" s="10"/>
      <c r="BQB5" s="10"/>
      <c r="BQC5" s="10"/>
      <c r="BQD5" s="10"/>
      <c r="BQE5" s="10"/>
      <c r="BQF5" s="10"/>
      <c r="BQG5" s="10"/>
      <c r="BQH5" s="10"/>
      <c r="BQI5" s="10"/>
      <c r="BQJ5" s="10"/>
      <c r="BQK5" s="10"/>
      <c r="BQL5" s="10"/>
      <c r="BQM5" s="10"/>
      <c r="BQN5" s="10"/>
      <c r="BQO5" s="10"/>
      <c r="BQP5" s="10"/>
      <c r="BQQ5" s="10"/>
      <c r="BQR5" s="10"/>
      <c r="BQS5" s="10"/>
      <c r="BQT5" s="10"/>
      <c r="BQU5" s="10"/>
      <c r="BQV5" s="10"/>
      <c r="BQW5" s="10"/>
      <c r="BQX5" s="10"/>
      <c r="BQY5" s="10"/>
      <c r="BQZ5" s="10"/>
      <c r="BRA5" s="10"/>
      <c r="BRB5" s="10"/>
      <c r="BRC5" s="10"/>
      <c r="BRD5" s="10"/>
      <c r="BRE5" s="10"/>
      <c r="BRF5" s="10"/>
      <c r="BRG5" s="10"/>
      <c r="BRH5" s="10"/>
      <c r="BRI5" s="10"/>
      <c r="BRJ5" s="10"/>
      <c r="BRK5" s="10"/>
      <c r="BRL5" s="10"/>
      <c r="BRM5" s="10"/>
      <c r="BRN5" s="10"/>
      <c r="BRO5" s="10"/>
      <c r="BRP5" s="10"/>
      <c r="BRQ5" s="10"/>
      <c r="BRR5" s="10"/>
      <c r="BRS5" s="10"/>
      <c r="BRT5" s="10"/>
      <c r="BRU5" s="10"/>
      <c r="BRV5" s="10"/>
      <c r="BRW5" s="10"/>
      <c r="BRX5" s="10"/>
      <c r="BRY5" s="10"/>
      <c r="BRZ5" s="10"/>
      <c r="BSA5" s="10"/>
      <c r="BSB5" s="10"/>
      <c r="BSC5" s="10"/>
      <c r="BSD5" s="10"/>
      <c r="BSE5" s="10"/>
      <c r="BSF5" s="10"/>
      <c r="BSG5" s="10"/>
      <c r="BSH5" s="10"/>
      <c r="BSI5" s="10"/>
      <c r="BSJ5" s="10"/>
      <c r="BSK5" s="10"/>
      <c r="BSL5" s="10"/>
      <c r="BSM5" s="10"/>
      <c r="BSN5" s="10"/>
      <c r="BSO5" s="10"/>
      <c r="BSP5" s="10"/>
      <c r="BSQ5" s="10"/>
      <c r="BSR5" s="10"/>
      <c r="BSS5" s="10"/>
      <c r="BST5" s="10"/>
      <c r="BSU5" s="10"/>
      <c r="BSV5" s="10"/>
      <c r="BSW5" s="10"/>
      <c r="BSX5" s="10"/>
      <c r="BSY5" s="10"/>
      <c r="BSZ5" s="10"/>
      <c r="BTA5" s="10"/>
      <c r="BTB5" s="10"/>
      <c r="BTC5" s="10"/>
      <c r="BTD5" s="10"/>
      <c r="BTE5" s="10"/>
      <c r="BTF5" s="10"/>
      <c r="BTG5" s="10"/>
      <c r="BTH5" s="10"/>
      <c r="BTI5" s="10"/>
      <c r="BTJ5" s="10"/>
      <c r="BTK5" s="10"/>
      <c r="BTL5" s="10"/>
      <c r="BTM5" s="10"/>
      <c r="BTN5" s="10"/>
      <c r="BTO5" s="10"/>
      <c r="BTP5" s="10"/>
      <c r="BTQ5" s="10"/>
      <c r="BTR5" s="10"/>
      <c r="BTS5" s="10"/>
      <c r="BTT5" s="10"/>
      <c r="BTU5" s="10"/>
      <c r="BTV5" s="10"/>
      <c r="BTW5" s="10"/>
      <c r="BTX5" s="10"/>
      <c r="BTY5" s="10"/>
      <c r="BTZ5" s="10"/>
      <c r="BUA5" s="10"/>
      <c r="BUB5" s="10"/>
      <c r="BUC5" s="10"/>
      <c r="BUD5" s="10"/>
      <c r="BUE5" s="10"/>
      <c r="BUF5" s="10"/>
      <c r="BUG5" s="10"/>
      <c r="BUH5" s="10"/>
      <c r="BUI5" s="10"/>
      <c r="BUJ5" s="10"/>
      <c r="BUK5" s="10"/>
      <c r="BUL5" s="10"/>
      <c r="BUM5" s="10"/>
      <c r="BUN5" s="10"/>
      <c r="BUO5" s="10"/>
      <c r="BUP5" s="10"/>
      <c r="BUQ5" s="10"/>
      <c r="BUR5" s="10"/>
      <c r="BUS5" s="10"/>
      <c r="BUT5" s="10"/>
      <c r="BUU5" s="10"/>
      <c r="BUV5" s="10"/>
      <c r="BUW5" s="10"/>
      <c r="BUX5" s="10"/>
      <c r="BUY5" s="10"/>
      <c r="BUZ5" s="10"/>
      <c r="BVA5" s="10"/>
      <c r="BVB5" s="10"/>
      <c r="BVC5" s="10"/>
      <c r="BVD5" s="10"/>
      <c r="BVE5" s="10"/>
      <c r="BVF5" s="10"/>
      <c r="BVG5" s="10"/>
      <c r="BVH5" s="10"/>
      <c r="BVI5" s="10"/>
      <c r="BVJ5" s="10"/>
      <c r="BVK5" s="10"/>
      <c r="BVL5" s="10"/>
      <c r="BVM5" s="10"/>
      <c r="BVN5" s="10"/>
      <c r="BVO5" s="10"/>
      <c r="BVP5" s="10"/>
      <c r="BVQ5" s="10"/>
      <c r="BVR5" s="10"/>
      <c r="BVS5" s="10"/>
      <c r="BVT5" s="10"/>
      <c r="BVU5" s="10"/>
      <c r="BVV5" s="10"/>
      <c r="BVW5" s="10"/>
      <c r="BVX5" s="10"/>
      <c r="BVY5" s="10"/>
      <c r="BVZ5" s="10"/>
      <c r="BWA5" s="10"/>
      <c r="BWB5" s="10"/>
      <c r="BWC5" s="10"/>
      <c r="BWD5" s="10"/>
      <c r="BWE5" s="10"/>
      <c r="BWF5" s="10"/>
      <c r="BWG5" s="10"/>
      <c r="BWH5" s="10"/>
      <c r="BWI5" s="10"/>
      <c r="BWJ5" s="10"/>
      <c r="BWK5" s="10"/>
      <c r="BWL5" s="10"/>
      <c r="BWM5" s="10"/>
      <c r="BWN5" s="10"/>
      <c r="BWO5" s="10"/>
      <c r="BWP5" s="10"/>
      <c r="BWQ5" s="10"/>
      <c r="BWR5" s="10"/>
      <c r="BWS5" s="10"/>
      <c r="BWT5" s="10"/>
      <c r="BWU5" s="10"/>
      <c r="BWV5" s="10"/>
      <c r="BWW5" s="10"/>
      <c r="BWX5" s="10"/>
      <c r="BWY5" s="10"/>
      <c r="BWZ5" s="10"/>
      <c r="BXA5" s="10"/>
      <c r="BXB5" s="10"/>
      <c r="BXC5" s="10"/>
      <c r="BXD5" s="10"/>
      <c r="BXE5" s="10"/>
      <c r="BXF5" s="10"/>
      <c r="BXG5" s="10"/>
      <c r="BXH5" s="10"/>
      <c r="BXI5" s="10"/>
      <c r="BXJ5" s="10"/>
      <c r="BXK5" s="10"/>
      <c r="BXL5" s="10"/>
      <c r="BXM5" s="10"/>
      <c r="BXN5" s="10"/>
      <c r="BXO5" s="10"/>
      <c r="BXP5" s="10"/>
      <c r="BXQ5" s="10"/>
      <c r="BXR5" s="10"/>
      <c r="BXS5" s="10"/>
      <c r="BXT5" s="10"/>
      <c r="BXU5" s="10"/>
      <c r="BXV5" s="10"/>
      <c r="BXW5" s="10"/>
      <c r="BXX5" s="10"/>
      <c r="BXY5" s="10"/>
      <c r="BXZ5" s="10"/>
      <c r="BYA5" s="10"/>
      <c r="BYB5" s="10"/>
      <c r="BYC5" s="10"/>
      <c r="BYD5" s="10"/>
      <c r="BYE5" s="10"/>
      <c r="BYF5" s="10"/>
      <c r="BYG5" s="10"/>
      <c r="BYH5" s="10"/>
      <c r="BYI5" s="10"/>
      <c r="BYJ5" s="10"/>
      <c r="BYK5" s="10"/>
      <c r="BYL5" s="10"/>
      <c r="BYM5" s="10"/>
      <c r="BYN5" s="10"/>
      <c r="BYO5" s="10"/>
      <c r="BYP5" s="10"/>
      <c r="BYQ5" s="10"/>
      <c r="BYR5" s="10"/>
      <c r="BYS5" s="10"/>
      <c r="BYT5" s="10"/>
      <c r="BYU5" s="10"/>
      <c r="BYV5" s="10"/>
      <c r="BYW5" s="10"/>
      <c r="BYX5" s="10"/>
      <c r="BYY5" s="10"/>
      <c r="BYZ5" s="10"/>
      <c r="BZA5" s="10"/>
      <c r="BZB5" s="10"/>
      <c r="BZC5" s="10"/>
      <c r="BZD5" s="10"/>
      <c r="BZE5" s="10"/>
      <c r="BZF5" s="10"/>
      <c r="BZG5" s="10"/>
      <c r="BZH5" s="10"/>
      <c r="BZI5" s="10"/>
      <c r="BZJ5" s="10"/>
      <c r="BZK5" s="10"/>
      <c r="BZL5" s="10"/>
      <c r="BZM5" s="10"/>
      <c r="BZN5" s="10"/>
      <c r="BZO5" s="10"/>
      <c r="BZP5" s="10"/>
      <c r="BZQ5" s="10"/>
      <c r="BZR5" s="10"/>
      <c r="BZS5" s="10"/>
      <c r="BZT5" s="10"/>
      <c r="BZU5" s="14"/>
    </row>
    <row r="6" spans="1:2049" ht="15" outlineLevel="1" thickBot="1" x14ac:dyDescent="0.35">
      <c r="A6" s="30" t="s">
        <v>177</v>
      </c>
      <c r="B6" s="11">
        <v>68</v>
      </c>
      <c r="C6" s="11">
        <v>0</v>
      </c>
      <c r="D6" s="11">
        <v>1</v>
      </c>
      <c r="E6" s="11">
        <v>2</v>
      </c>
      <c r="F6" s="11">
        <v>3</v>
      </c>
      <c r="G6" s="11">
        <v>4</v>
      </c>
      <c r="H6" s="11">
        <v>5</v>
      </c>
      <c r="I6" s="11">
        <v>6</v>
      </c>
      <c r="J6" s="11">
        <v>7</v>
      </c>
      <c r="K6" s="11">
        <v>232</v>
      </c>
      <c r="L6" s="11">
        <v>3</v>
      </c>
      <c r="M6" s="11">
        <v>208</v>
      </c>
      <c r="N6" s="11">
        <v>7</v>
      </c>
      <c r="O6" s="11">
        <v>232</v>
      </c>
      <c r="P6" s="11">
        <v>3</v>
      </c>
      <c r="Q6" s="11">
        <v>208</v>
      </c>
      <c r="R6" s="11">
        <v>7</v>
      </c>
      <c r="S6" s="11">
        <v>232</v>
      </c>
      <c r="T6" s="11">
        <v>3</v>
      </c>
      <c r="U6" s="11">
        <v>208</v>
      </c>
      <c r="V6" s="11">
        <v>7</v>
      </c>
      <c r="W6" s="11">
        <v>232</v>
      </c>
      <c r="X6" s="11">
        <v>3</v>
      </c>
      <c r="Y6" s="11">
        <v>208</v>
      </c>
      <c r="Z6" s="11">
        <v>7</v>
      </c>
      <c r="AA6" s="11">
        <v>232</v>
      </c>
      <c r="AB6" s="11">
        <v>3</v>
      </c>
      <c r="AC6" s="11">
        <v>208</v>
      </c>
      <c r="AD6" s="11">
        <v>7</v>
      </c>
      <c r="AE6" s="11">
        <v>232</v>
      </c>
      <c r="AF6" s="11">
        <v>3</v>
      </c>
      <c r="AG6" s="11">
        <v>208</v>
      </c>
      <c r="AH6" s="11">
        <v>7</v>
      </c>
      <c r="AI6" s="11">
        <v>232</v>
      </c>
      <c r="AJ6" s="11">
        <v>3</v>
      </c>
      <c r="AK6" s="11">
        <v>208</v>
      </c>
      <c r="AL6" s="11">
        <v>7</v>
      </c>
      <c r="AM6" s="11">
        <v>232</v>
      </c>
      <c r="AN6" s="11">
        <v>3</v>
      </c>
      <c r="AO6" s="11">
        <v>208</v>
      </c>
      <c r="AP6" s="11">
        <v>7</v>
      </c>
      <c r="AQ6" s="11">
        <v>6</v>
      </c>
      <c r="AR6" s="11">
        <v>2</v>
      </c>
      <c r="AS6" s="11">
        <v>4</v>
      </c>
      <c r="AT6" s="11">
        <v>0</v>
      </c>
      <c r="AU6" s="11">
        <v>4</v>
      </c>
      <c r="AV6" s="11">
        <v>0</v>
      </c>
      <c r="AW6" s="11">
        <v>0</v>
      </c>
      <c r="AX6" s="11">
        <v>0</v>
      </c>
      <c r="AY6" s="11">
        <v>50</v>
      </c>
      <c r="AZ6" s="11">
        <v>100</v>
      </c>
      <c r="BA6" s="11">
        <v>0</v>
      </c>
      <c r="BB6" s="11">
        <v>20</v>
      </c>
      <c r="BC6" s="11">
        <v>40</v>
      </c>
      <c r="BD6" s="11">
        <v>10</v>
      </c>
      <c r="BE6" s="11">
        <v>10</v>
      </c>
      <c r="BF6" s="11">
        <v>2</v>
      </c>
      <c r="BG6" s="11">
        <v>10</v>
      </c>
      <c r="BH6" s="11">
        <v>0</v>
      </c>
      <c r="BI6" s="11">
        <v>40</v>
      </c>
      <c r="BJ6" s="11">
        <v>10</v>
      </c>
      <c r="BK6" s="11">
        <v>10</v>
      </c>
      <c r="BL6" s="11">
        <v>2</v>
      </c>
      <c r="BM6" s="11">
        <v>10</v>
      </c>
      <c r="BN6" s="11">
        <v>0</v>
      </c>
      <c r="BO6" s="11">
        <v>60</v>
      </c>
      <c r="BP6" s="11">
        <v>40</v>
      </c>
      <c r="BQ6" s="11">
        <v>25</v>
      </c>
      <c r="BR6" s="11">
        <v>2</v>
      </c>
      <c r="BS6" s="11">
        <v>0</v>
      </c>
      <c r="BT6" s="11">
        <v>40</v>
      </c>
      <c r="BU6" s="11">
        <v>20</v>
      </c>
      <c r="BV6" s="11">
        <v>10</v>
      </c>
      <c r="BW6" s="11">
        <v>40</v>
      </c>
      <c r="BX6" s="11">
        <v>19</v>
      </c>
      <c r="BY6" s="11">
        <v>14</v>
      </c>
      <c r="BZ6" s="11">
        <v>3</v>
      </c>
      <c r="CA6" s="11">
        <v>1</v>
      </c>
      <c r="CB6" s="11">
        <v>0</v>
      </c>
      <c r="CC6" s="11">
        <v>40</v>
      </c>
      <c r="CD6" s="11">
        <v>19</v>
      </c>
      <c r="CE6" s="11">
        <v>14</v>
      </c>
      <c r="CF6" s="11">
        <v>3</v>
      </c>
      <c r="CG6" s="11">
        <v>1</v>
      </c>
      <c r="CH6" s="11">
        <v>0</v>
      </c>
      <c r="CI6" s="11">
        <v>60</v>
      </c>
      <c r="CJ6" s="11">
        <v>40</v>
      </c>
      <c r="CK6" s="11">
        <v>25</v>
      </c>
      <c r="CL6" s="11">
        <v>2</v>
      </c>
      <c r="CM6" s="11">
        <v>0</v>
      </c>
      <c r="CN6" s="11">
        <v>0</v>
      </c>
      <c r="CO6" s="11">
        <v>0</v>
      </c>
      <c r="CP6" s="11">
        <v>0</v>
      </c>
      <c r="CQ6" s="11">
        <v>0</v>
      </c>
      <c r="CR6" s="11">
        <v>25</v>
      </c>
      <c r="CS6" s="11">
        <v>0</v>
      </c>
      <c r="CT6" s="11">
        <v>0</v>
      </c>
      <c r="CU6" s="11">
        <v>0</v>
      </c>
      <c r="CV6" s="11">
        <v>25</v>
      </c>
      <c r="CW6" s="11">
        <v>0</v>
      </c>
      <c r="CX6" s="11">
        <v>0</v>
      </c>
      <c r="CY6" s="11">
        <v>128</v>
      </c>
      <c r="CZ6" s="11">
        <v>62</v>
      </c>
      <c r="DA6" s="11">
        <v>0</v>
      </c>
      <c r="DB6" s="11">
        <v>0</v>
      </c>
      <c r="DC6" s="11">
        <v>0</v>
      </c>
      <c r="DD6" s="11">
        <v>25</v>
      </c>
      <c r="DE6" s="11">
        <v>0</v>
      </c>
      <c r="DF6" s="11">
        <v>0</v>
      </c>
      <c r="DG6" s="11">
        <v>0</v>
      </c>
      <c r="DH6" s="11">
        <v>35</v>
      </c>
      <c r="DI6" s="11">
        <v>0</v>
      </c>
      <c r="DJ6" s="11">
        <v>0</v>
      </c>
      <c r="DK6" s="11">
        <v>0</v>
      </c>
      <c r="DL6" s="11">
        <v>35</v>
      </c>
      <c r="DM6" s="11">
        <v>0</v>
      </c>
      <c r="DN6" s="11">
        <v>0</v>
      </c>
      <c r="DO6" s="11">
        <v>128</v>
      </c>
      <c r="DP6" s="11">
        <v>62</v>
      </c>
      <c r="DQ6" s="11">
        <v>0</v>
      </c>
      <c r="DR6" s="11">
        <v>0</v>
      </c>
      <c r="DS6" s="11">
        <v>0</v>
      </c>
      <c r="DT6" s="11">
        <v>0</v>
      </c>
      <c r="DU6" s="11">
        <v>0</v>
      </c>
      <c r="DV6" s="11">
        <v>0</v>
      </c>
      <c r="DW6" s="11">
        <v>0</v>
      </c>
      <c r="DX6" s="11">
        <v>80</v>
      </c>
      <c r="DY6" s="11">
        <v>0</v>
      </c>
      <c r="DZ6" s="11">
        <v>0</v>
      </c>
      <c r="EA6" s="11">
        <v>0</v>
      </c>
      <c r="EB6" s="11">
        <v>80</v>
      </c>
      <c r="EC6" s="11">
        <v>0</v>
      </c>
      <c r="ED6" s="11">
        <v>0</v>
      </c>
      <c r="EE6" s="11">
        <v>0</v>
      </c>
      <c r="EF6" s="11">
        <v>50</v>
      </c>
      <c r="EG6" s="11">
        <v>0</v>
      </c>
      <c r="EH6" s="11">
        <v>0</v>
      </c>
      <c r="EI6" s="11">
        <v>0</v>
      </c>
      <c r="EJ6" s="11">
        <v>5</v>
      </c>
      <c r="EK6" s="11">
        <v>0</v>
      </c>
      <c r="EL6" s="11">
        <v>0</v>
      </c>
      <c r="EM6" s="11">
        <v>242</v>
      </c>
      <c r="EN6" s="11">
        <v>58</v>
      </c>
      <c r="EO6" s="11">
        <v>0</v>
      </c>
      <c r="EP6" s="11">
        <v>0</v>
      </c>
      <c r="EQ6" s="11">
        <v>242</v>
      </c>
      <c r="ER6" s="11">
        <v>58</v>
      </c>
      <c r="ES6" s="11">
        <v>0</v>
      </c>
      <c r="ET6" s="11">
        <v>0</v>
      </c>
      <c r="EU6" s="11">
        <v>0</v>
      </c>
      <c r="EV6" s="11">
        <v>50</v>
      </c>
      <c r="EW6" s="11">
        <v>0</v>
      </c>
      <c r="EX6" s="11">
        <v>0</v>
      </c>
      <c r="EY6" s="11">
        <v>0</v>
      </c>
      <c r="EZ6" s="11">
        <v>0</v>
      </c>
      <c r="FA6" s="11">
        <v>0</v>
      </c>
      <c r="FB6" s="11">
        <v>0</v>
      </c>
      <c r="FC6" s="11">
        <v>0</v>
      </c>
      <c r="FD6" s="11">
        <v>0</v>
      </c>
      <c r="FE6" s="11">
        <v>0</v>
      </c>
      <c r="FF6" s="11">
        <v>0</v>
      </c>
      <c r="FG6" s="11">
        <v>36</v>
      </c>
      <c r="FH6" s="11">
        <v>1</v>
      </c>
      <c r="FI6" s="11">
        <v>30</v>
      </c>
      <c r="FJ6" s="11">
        <v>0</v>
      </c>
      <c r="FK6" s="11">
        <v>3</v>
      </c>
      <c r="FL6" s="11">
        <v>2</v>
      </c>
      <c r="FM6" s="11">
        <v>7</v>
      </c>
      <c r="FN6" s="11">
        <v>6</v>
      </c>
      <c r="FO6" s="11">
        <v>4</v>
      </c>
      <c r="FP6" s="64">
        <v>1</v>
      </c>
      <c r="FQ6" s="11">
        <v>0</v>
      </c>
      <c r="FR6" s="11">
        <v>0</v>
      </c>
      <c r="FS6" s="11">
        <v>0</v>
      </c>
      <c r="FT6" s="11">
        <v>0</v>
      </c>
      <c r="FU6" s="11">
        <v>2</v>
      </c>
      <c r="FV6" s="11">
        <v>100</v>
      </c>
      <c r="FW6" s="11">
        <v>100</v>
      </c>
      <c r="FX6" s="11">
        <v>0</v>
      </c>
      <c r="FY6" s="11">
        <v>15</v>
      </c>
      <c r="FZ6" s="11">
        <v>20</v>
      </c>
      <c r="GA6" s="11">
        <v>241</v>
      </c>
      <c r="GB6" s="11">
        <v>236</v>
      </c>
      <c r="GC6" s="11">
        <v>216</v>
      </c>
      <c r="GD6" s="11">
        <v>206</v>
      </c>
      <c r="GE6" s="11">
        <v>1</v>
      </c>
      <c r="GF6" s="11">
        <v>1</v>
      </c>
      <c r="GG6" s="11">
        <v>1</v>
      </c>
      <c r="GH6" s="11">
        <v>1</v>
      </c>
      <c r="GI6" s="11">
        <v>1</v>
      </c>
      <c r="GJ6" s="11">
        <v>1</v>
      </c>
      <c r="GK6" s="11">
        <v>1</v>
      </c>
      <c r="GL6" s="11">
        <v>1</v>
      </c>
      <c r="GM6" s="11">
        <v>1</v>
      </c>
      <c r="GN6" s="11">
        <v>1</v>
      </c>
      <c r="GO6" s="11">
        <v>1</v>
      </c>
      <c r="GP6" s="11">
        <v>1</v>
      </c>
      <c r="GQ6" s="11">
        <v>20</v>
      </c>
      <c r="GR6" s="11">
        <v>0</v>
      </c>
      <c r="GS6" s="11">
        <v>20</v>
      </c>
      <c r="GT6" s="11">
        <v>0</v>
      </c>
      <c r="GU6" s="11">
        <v>20</v>
      </c>
      <c r="GV6" s="11">
        <v>0</v>
      </c>
      <c r="GW6" s="11">
        <v>20</v>
      </c>
      <c r="GX6" s="11">
        <v>0</v>
      </c>
      <c r="GY6" s="11">
        <v>0</v>
      </c>
      <c r="GZ6" s="11">
        <v>0</v>
      </c>
      <c r="HA6" s="11">
        <v>0</v>
      </c>
      <c r="HB6" s="11">
        <v>0</v>
      </c>
      <c r="HC6" s="11">
        <v>2</v>
      </c>
      <c r="HD6" s="11">
        <v>100</v>
      </c>
      <c r="HE6" s="11">
        <v>100</v>
      </c>
      <c r="HF6" s="11">
        <v>0</v>
      </c>
      <c r="HG6" s="11">
        <v>241</v>
      </c>
      <c r="HH6" s="11">
        <v>236</v>
      </c>
      <c r="HI6" s="11">
        <v>241</v>
      </c>
      <c r="HJ6" s="11">
        <v>236</v>
      </c>
      <c r="HK6" s="11">
        <v>40</v>
      </c>
      <c r="HL6" s="11">
        <v>50</v>
      </c>
      <c r="HM6" s="11">
        <v>1</v>
      </c>
      <c r="HN6" s="11">
        <v>1</v>
      </c>
      <c r="HO6" s="11">
        <v>1</v>
      </c>
      <c r="HP6" s="11">
        <v>1</v>
      </c>
      <c r="HQ6" s="11">
        <v>1</v>
      </c>
      <c r="HR6" s="11">
        <v>1</v>
      </c>
      <c r="HS6" s="11">
        <v>1</v>
      </c>
      <c r="HT6" s="11">
        <v>1</v>
      </c>
      <c r="HU6" s="11">
        <v>1</v>
      </c>
      <c r="HV6" s="11">
        <v>1</v>
      </c>
      <c r="HW6" s="11">
        <v>1</v>
      </c>
      <c r="HX6" s="11">
        <v>1</v>
      </c>
      <c r="HY6" s="11">
        <v>20</v>
      </c>
      <c r="HZ6" s="11">
        <v>0</v>
      </c>
      <c r="IA6" s="11">
        <v>20</v>
      </c>
      <c r="IB6" s="11">
        <v>0</v>
      </c>
      <c r="IC6" s="11">
        <v>20</v>
      </c>
      <c r="ID6" s="11">
        <v>0</v>
      </c>
      <c r="IE6" s="11">
        <v>20</v>
      </c>
      <c r="IF6" s="11">
        <v>0</v>
      </c>
      <c r="IG6" s="11">
        <v>0</v>
      </c>
      <c r="IH6" s="11">
        <v>0</v>
      </c>
      <c r="II6" s="11">
        <v>0</v>
      </c>
      <c r="IJ6" s="11">
        <v>0</v>
      </c>
      <c r="IK6" s="11">
        <v>2</v>
      </c>
      <c r="IL6" s="11">
        <v>100</v>
      </c>
      <c r="IM6" s="11">
        <v>100</v>
      </c>
      <c r="IN6" s="11">
        <v>0</v>
      </c>
      <c r="IO6" s="11">
        <v>241</v>
      </c>
      <c r="IP6" s="11">
        <v>236</v>
      </c>
      <c r="IQ6" s="11">
        <v>15</v>
      </c>
      <c r="IR6" s="11">
        <v>20</v>
      </c>
      <c r="IS6" s="11">
        <v>216</v>
      </c>
      <c r="IT6" s="11">
        <v>206</v>
      </c>
      <c r="IU6" s="11">
        <v>1</v>
      </c>
      <c r="IV6" s="11">
        <v>1</v>
      </c>
      <c r="IW6" s="11">
        <v>1</v>
      </c>
      <c r="IX6" s="11">
        <v>1</v>
      </c>
      <c r="IY6" s="11">
        <v>1</v>
      </c>
      <c r="IZ6" s="11">
        <v>1</v>
      </c>
      <c r="JA6" s="11">
        <v>1</v>
      </c>
      <c r="JB6" s="11">
        <v>1</v>
      </c>
      <c r="JC6" s="11">
        <v>1</v>
      </c>
      <c r="JD6" s="11">
        <v>1</v>
      </c>
      <c r="JE6" s="11">
        <v>1</v>
      </c>
      <c r="JF6" s="11">
        <v>1</v>
      </c>
      <c r="JG6" s="11">
        <v>20</v>
      </c>
      <c r="JH6" s="11">
        <v>0</v>
      </c>
      <c r="JI6" s="11">
        <v>20</v>
      </c>
      <c r="JJ6" s="11">
        <v>0</v>
      </c>
      <c r="JK6" s="11">
        <v>20</v>
      </c>
      <c r="JL6" s="11">
        <v>0</v>
      </c>
      <c r="JM6" s="11">
        <v>20</v>
      </c>
      <c r="JN6" s="11">
        <v>0</v>
      </c>
      <c r="JO6" s="11">
        <v>0</v>
      </c>
      <c r="JP6" s="11">
        <v>0</v>
      </c>
      <c r="JQ6" s="11">
        <v>0</v>
      </c>
      <c r="JR6" s="11">
        <v>0</v>
      </c>
      <c r="JS6" s="11">
        <v>2</v>
      </c>
      <c r="JT6" s="11">
        <v>100</v>
      </c>
      <c r="JU6" s="11">
        <v>100</v>
      </c>
      <c r="JV6" s="11">
        <v>0</v>
      </c>
      <c r="JW6" s="11">
        <v>15</v>
      </c>
      <c r="JX6" s="11">
        <v>20</v>
      </c>
      <c r="JY6" s="11">
        <v>15</v>
      </c>
      <c r="JZ6" s="11">
        <v>20</v>
      </c>
      <c r="KA6" s="11">
        <v>40</v>
      </c>
      <c r="KB6" s="11">
        <v>50</v>
      </c>
      <c r="KC6" s="11">
        <v>1</v>
      </c>
      <c r="KD6" s="11">
        <v>1</v>
      </c>
      <c r="KE6" s="11">
        <v>1</v>
      </c>
      <c r="KF6" s="11">
        <v>1</v>
      </c>
      <c r="KG6" s="11">
        <v>1</v>
      </c>
      <c r="KH6" s="11">
        <v>1</v>
      </c>
      <c r="KI6" s="11">
        <v>1</v>
      </c>
      <c r="KJ6" s="11">
        <v>1</v>
      </c>
      <c r="KK6" s="11">
        <v>1</v>
      </c>
      <c r="KL6" s="11">
        <v>1</v>
      </c>
      <c r="KM6" s="11">
        <v>1</v>
      </c>
      <c r="KN6" s="11">
        <v>1</v>
      </c>
      <c r="KO6" s="11">
        <v>20</v>
      </c>
      <c r="KP6" s="11">
        <v>0</v>
      </c>
      <c r="KQ6" s="11">
        <v>20</v>
      </c>
      <c r="KR6" s="11">
        <v>0</v>
      </c>
      <c r="KS6" s="11">
        <v>20</v>
      </c>
      <c r="KT6" s="11">
        <v>0</v>
      </c>
      <c r="KU6" s="11">
        <v>20</v>
      </c>
      <c r="KV6" s="11">
        <v>0</v>
      </c>
      <c r="KW6" s="11">
        <v>0</v>
      </c>
      <c r="KX6" s="11">
        <v>0</v>
      </c>
      <c r="KY6" s="11">
        <v>0</v>
      </c>
      <c r="KZ6" s="11">
        <v>0</v>
      </c>
      <c r="LA6" s="11">
        <v>0</v>
      </c>
      <c r="LB6" s="11">
        <v>0</v>
      </c>
      <c r="LC6" s="11">
        <v>0</v>
      </c>
      <c r="LD6" s="11">
        <v>0</v>
      </c>
      <c r="LE6" s="11">
        <v>0</v>
      </c>
      <c r="LF6" s="11">
        <v>0</v>
      </c>
      <c r="LG6" s="11">
        <v>75</v>
      </c>
      <c r="LH6" s="11">
        <v>100</v>
      </c>
      <c r="LI6" s="11">
        <v>0</v>
      </c>
      <c r="LJ6" s="11">
        <v>0</v>
      </c>
      <c r="LK6" s="11">
        <v>0</v>
      </c>
      <c r="LL6" s="11">
        <v>0</v>
      </c>
      <c r="LM6" s="11">
        <v>0</v>
      </c>
      <c r="LN6" s="11">
        <v>0</v>
      </c>
      <c r="LO6" s="11">
        <v>0</v>
      </c>
      <c r="LP6" s="11">
        <v>0</v>
      </c>
      <c r="LQ6" s="11">
        <v>0</v>
      </c>
      <c r="LR6" s="11">
        <v>0</v>
      </c>
      <c r="LS6" s="11">
        <v>0</v>
      </c>
      <c r="LT6" s="11">
        <v>0</v>
      </c>
      <c r="LU6" s="11">
        <v>0</v>
      </c>
      <c r="LV6" s="11">
        <v>0</v>
      </c>
      <c r="LW6" s="11">
        <v>20</v>
      </c>
      <c r="LX6" s="11">
        <v>0</v>
      </c>
      <c r="LY6" s="11">
        <v>20</v>
      </c>
      <c r="LZ6" s="11">
        <v>0</v>
      </c>
      <c r="MA6" s="11">
        <v>20</v>
      </c>
      <c r="MB6" s="11">
        <v>0</v>
      </c>
      <c r="MC6" s="11">
        <v>20</v>
      </c>
      <c r="MD6" s="11">
        <v>0</v>
      </c>
      <c r="ME6" s="11">
        <v>0</v>
      </c>
      <c r="MF6" s="11">
        <v>0</v>
      </c>
      <c r="MG6" s="11">
        <v>0</v>
      </c>
      <c r="MH6" s="11">
        <v>0</v>
      </c>
      <c r="MI6" s="11">
        <v>0</v>
      </c>
      <c r="MJ6" s="11">
        <v>0</v>
      </c>
      <c r="MK6" s="11">
        <v>0</v>
      </c>
      <c r="ML6" s="11">
        <v>0</v>
      </c>
      <c r="MM6" s="11">
        <v>75</v>
      </c>
      <c r="MN6" s="11">
        <v>100</v>
      </c>
      <c r="MO6" s="11">
        <v>0</v>
      </c>
      <c r="MP6" s="11">
        <v>0</v>
      </c>
      <c r="MQ6" s="11">
        <v>0</v>
      </c>
      <c r="MR6" s="11">
        <v>0</v>
      </c>
      <c r="MS6" s="11">
        <v>0</v>
      </c>
      <c r="MT6" s="11">
        <v>0</v>
      </c>
      <c r="MU6" s="11">
        <v>0</v>
      </c>
      <c r="MV6" s="11">
        <v>0</v>
      </c>
      <c r="MW6" s="11">
        <v>0</v>
      </c>
      <c r="MX6" s="11">
        <v>0</v>
      </c>
      <c r="MY6" s="11">
        <v>0</v>
      </c>
      <c r="MZ6" s="11">
        <v>0</v>
      </c>
      <c r="NA6" s="11">
        <v>0</v>
      </c>
      <c r="NB6" s="11">
        <v>0</v>
      </c>
      <c r="NC6" s="11">
        <v>0</v>
      </c>
      <c r="ND6" s="11">
        <v>0</v>
      </c>
      <c r="NE6" s="11">
        <v>20</v>
      </c>
      <c r="NF6" s="11">
        <v>0</v>
      </c>
      <c r="NG6" s="11">
        <v>20</v>
      </c>
      <c r="NH6" s="11">
        <v>0</v>
      </c>
      <c r="NI6" s="11">
        <v>20</v>
      </c>
      <c r="NJ6" s="11">
        <v>0</v>
      </c>
      <c r="NK6" s="11">
        <v>20</v>
      </c>
      <c r="NL6" s="11">
        <v>0</v>
      </c>
      <c r="NM6" s="11">
        <v>0</v>
      </c>
      <c r="NN6" s="11">
        <v>0</v>
      </c>
      <c r="NO6" s="11">
        <v>0</v>
      </c>
      <c r="NP6" s="11">
        <v>0</v>
      </c>
      <c r="NQ6" s="11">
        <v>0</v>
      </c>
      <c r="NR6" s="11">
        <v>0</v>
      </c>
      <c r="NS6" s="11">
        <v>0</v>
      </c>
      <c r="NT6" s="11">
        <v>0</v>
      </c>
      <c r="NU6" s="11">
        <v>0</v>
      </c>
      <c r="NV6" s="11">
        <v>0</v>
      </c>
      <c r="NW6" s="11">
        <v>0</v>
      </c>
      <c r="NX6" s="11">
        <v>0</v>
      </c>
      <c r="NY6" s="11">
        <v>75</v>
      </c>
      <c r="NZ6" s="11">
        <v>100</v>
      </c>
      <c r="OA6" s="11">
        <v>0</v>
      </c>
      <c r="OB6" s="11">
        <v>0</v>
      </c>
      <c r="OC6" s="11">
        <v>0</v>
      </c>
      <c r="OD6" s="11">
        <v>0</v>
      </c>
      <c r="OE6" s="11">
        <v>0</v>
      </c>
      <c r="OF6" s="11">
        <v>0</v>
      </c>
      <c r="OG6" s="11">
        <v>0</v>
      </c>
      <c r="OH6" s="11">
        <v>0</v>
      </c>
      <c r="OI6" s="11">
        <v>0</v>
      </c>
      <c r="OJ6" s="11">
        <v>0</v>
      </c>
      <c r="OK6" s="11">
        <v>0</v>
      </c>
      <c r="OL6" s="11">
        <v>0</v>
      </c>
      <c r="OM6" s="11">
        <v>20</v>
      </c>
      <c r="ON6" s="11">
        <v>0</v>
      </c>
      <c r="OO6" s="11">
        <v>20</v>
      </c>
      <c r="OP6" s="11">
        <v>0</v>
      </c>
      <c r="OQ6" s="11">
        <v>20</v>
      </c>
      <c r="OR6" s="11">
        <v>0</v>
      </c>
      <c r="OS6" s="11">
        <v>20</v>
      </c>
      <c r="OT6" s="11">
        <v>0</v>
      </c>
      <c r="OU6" s="11">
        <v>0</v>
      </c>
      <c r="OV6" s="11">
        <v>0</v>
      </c>
      <c r="OW6" s="11">
        <v>0</v>
      </c>
      <c r="OX6" s="11">
        <v>0</v>
      </c>
      <c r="OY6" s="11">
        <v>0</v>
      </c>
      <c r="OZ6" s="11">
        <v>0</v>
      </c>
      <c r="PA6" s="11">
        <v>0</v>
      </c>
      <c r="PB6" s="11">
        <v>0</v>
      </c>
      <c r="PC6" s="11">
        <v>0</v>
      </c>
      <c r="PD6" s="11">
        <v>0</v>
      </c>
      <c r="PE6" s="11">
        <v>0</v>
      </c>
      <c r="PF6" s="11">
        <v>0</v>
      </c>
      <c r="PG6" s="11">
        <v>0</v>
      </c>
      <c r="PH6" s="11">
        <v>0</v>
      </c>
      <c r="PI6" s="11">
        <v>0</v>
      </c>
      <c r="PJ6" s="11">
        <v>0</v>
      </c>
      <c r="PK6" s="11">
        <v>0</v>
      </c>
      <c r="PL6" s="11">
        <v>0</v>
      </c>
      <c r="PM6" s="11">
        <v>0</v>
      </c>
      <c r="PN6" s="11">
        <v>0</v>
      </c>
      <c r="PO6" s="11">
        <v>0</v>
      </c>
      <c r="PP6" s="11">
        <v>0</v>
      </c>
      <c r="PQ6" s="11">
        <v>0</v>
      </c>
      <c r="PR6" s="11">
        <v>0</v>
      </c>
      <c r="PS6" s="11">
        <v>0</v>
      </c>
      <c r="PT6" s="11">
        <v>0</v>
      </c>
      <c r="PU6" s="11">
        <v>20</v>
      </c>
      <c r="PV6" s="11">
        <v>0</v>
      </c>
      <c r="PW6" s="11">
        <v>20</v>
      </c>
      <c r="PX6" s="11">
        <v>0</v>
      </c>
      <c r="PY6" s="11">
        <v>20</v>
      </c>
      <c r="PZ6" s="11">
        <v>0</v>
      </c>
      <c r="QA6" s="11">
        <v>20</v>
      </c>
      <c r="QB6" s="11">
        <v>0</v>
      </c>
      <c r="QC6" s="11">
        <v>0</v>
      </c>
      <c r="QD6" s="11">
        <v>0</v>
      </c>
      <c r="QE6" s="11">
        <v>0</v>
      </c>
      <c r="QF6" s="11">
        <v>0</v>
      </c>
      <c r="QG6" s="11">
        <v>0</v>
      </c>
      <c r="QH6" s="11">
        <v>0</v>
      </c>
      <c r="QI6" s="11">
        <v>0</v>
      </c>
      <c r="QJ6" s="11">
        <v>0</v>
      </c>
      <c r="QK6" s="11">
        <v>156</v>
      </c>
      <c r="QL6" s="11">
        <v>156</v>
      </c>
      <c r="QM6" s="11">
        <v>156</v>
      </c>
      <c r="QN6" s="11">
        <v>156</v>
      </c>
      <c r="QO6" s="11">
        <v>156</v>
      </c>
      <c r="QP6" s="11">
        <v>156</v>
      </c>
      <c r="QQ6" s="11">
        <v>156</v>
      </c>
      <c r="QR6" s="11">
        <v>156</v>
      </c>
      <c r="QS6" s="11">
        <v>100</v>
      </c>
      <c r="QT6" s="11">
        <v>100</v>
      </c>
      <c r="QU6" s="11">
        <v>100</v>
      </c>
      <c r="QV6" s="11">
        <v>100</v>
      </c>
      <c r="QW6" s="11">
        <v>100</v>
      </c>
      <c r="QX6" s="11">
        <v>100</v>
      </c>
      <c r="QY6" s="11">
        <v>100</v>
      </c>
      <c r="QZ6" s="11">
        <v>100</v>
      </c>
      <c r="RA6" s="11">
        <v>190</v>
      </c>
      <c r="RB6" s="11">
        <v>10</v>
      </c>
      <c r="RC6" s="11">
        <v>166</v>
      </c>
      <c r="RD6" s="11">
        <v>14</v>
      </c>
      <c r="RE6" s="11">
        <v>166</v>
      </c>
      <c r="RF6" s="11">
        <v>14</v>
      </c>
      <c r="RG6" s="11">
        <v>166</v>
      </c>
      <c r="RH6" s="11">
        <v>14</v>
      </c>
      <c r="RI6" s="11">
        <v>166</v>
      </c>
      <c r="RJ6" s="11">
        <v>14</v>
      </c>
      <c r="RK6" s="11">
        <v>166</v>
      </c>
      <c r="RL6" s="11">
        <v>14</v>
      </c>
      <c r="RM6" s="11">
        <v>166</v>
      </c>
      <c r="RN6" s="11">
        <v>14</v>
      </c>
      <c r="RO6" s="11">
        <v>166</v>
      </c>
      <c r="RP6" s="11">
        <v>14</v>
      </c>
      <c r="RQ6" s="11">
        <v>0</v>
      </c>
      <c r="RR6" s="11">
        <v>0</v>
      </c>
      <c r="RS6" s="11">
        <v>0</v>
      </c>
      <c r="RT6" s="11">
        <v>0</v>
      </c>
      <c r="RU6" s="11">
        <v>0</v>
      </c>
      <c r="RV6" s="11">
        <v>0</v>
      </c>
      <c r="RW6" s="11">
        <v>128</v>
      </c>
      <c r="RX6" s="11">
        <v>0</v>
      </c>
      <c r="RY6" s="11">
        <v>0</v>
      </c>
      <c r="RZ6" s="11">
        <v>0</v>
      </c>
      <c r="SA6" s="11">
        <v>0</v>
      </c>
      <c r="SB6" s="11">
        <v>0</v>
      </c>
      <c r="SC6" s="11">
        <v>0</v>
      </c>
      <c r="SD6" s="11">
        <v>0</v>
      </c>
      <c r="SE6" s="11">
        <v>0</v>
      </c>
      <c r="SF6" s="11">
        <v>0</v>
      </c>
      <c r="SG6" s="11">
        <v>0</v>
      </c>
      <c r="SH6" s="11">
        <v>0</v>
      </c>
      <c r="SI6" s="11">
        <v>0</v>
      </c>
      <c r="SJ6" s="11">
        <v>0</v>
      </c>
      <c r="SK6" s="11">
        <v>1</v>
      </c>
      <c r="SL6" s="11">
        <v>0</v>
      </c>
      <c r="SM6" s="11">
        <v>0</v>
      </c>
      <c r="SN6" s="11">
        <v>0</v>
      </c>
      <c r="SO6" s="11">
        <v>0</v>
      </c>
      <c r="SP6" s="11">
        <v>0</v>
      </c>
      <c r="SQ6" s="11">
        <v>0</v>
      </c>
      <c r="SR6" s="11">
        <v>0</v>
      </c>
      <c r="SS6" s="11">
        <v>0</v>
      </c>
      <c r="ST6" s="11">
        <v>0</v>
      </c>
      <c r="SU6" s="11">
        <v>0</v>
      </c>
      <c r="SV6" s="11">
        <v>0</v>
      </c>
      <c r="SW6" s="11">
        <v>0</v>
      </c>
      <c r="SX6" s="11">
        <v>0</v>
      </c>
      <c r="SY6" s="11">
        <v>0</v>
      </c>
      <c r="SZ6" s="11">
        <v>0</v>
      </c>
      <c r="TA6" s="11">
        <v>0</v>
      </c>
      <c r="TB6" s="11">
        <v>0</v>
      </c>
      <c r="TC6" s="11">
        <v>0</v>
      </c>
      <c r="TD6" s="11">
        <v>0</v>
      </c>
      <c r="TE6" s="11">
        <v>0</v>
      </c>
      <c r="TF6" s="11">
        <v>0</v>
      </c>
      <c r="TG6" s="11">
        <v>0</v>
      </c>
      <c r="TH6" s="11">
        <v>0</v>
      </c>
      <c r="TI6" s="11">
        <v>0</v>
      </c>
      <c r="TJ6" s="11">
        <v>0</v>
      </c>
      <c r="TK6" s="11">
        <v>0</v>
      </c>
      <c r="TL6" s="11">
        <v>0</v>
      </c>
      <c r="TM6" s="11">
        <v>0</v>
      </c>
      <c r="TN6" s="11">
        <v>0</v>
      </c>
      <c r="TO6" s="11">
        <v>0</v>
      </c>
      <c r="TP6" s="11">
        <v>0</v>
      </c>
      <c r="TQ6" s="11">
        <v>0</v>
      </c>
      <c r="TR6" s="11">
        <v>0</v>
      </c>
      <c r="TS6" s="11">
        <v>0</v>
      </c>
      <c r="TT6" s="11">
        <v>0</v>
      </c>
      <c r="TU6" s="11">
        <v>0</v>
      </c>
      <c r="TV6" s="11">
        <v>0</v>
      </c>
      <c r="TW6" s="11">
        <v>0</v>
      </c>
      <c r="TX6" s="11">
        <v>128</v>
      </c>
      <c r="TY6" s="11">
        <v>0</v>
      </c>
      <c r="TZ6" s="11">
        <v>0</v>
      </c>
      <c r="UA6" s="11">
        <v>0</v>
      </c>
      <c r="UB6" s="11">
        <v>0</v>
      </c>
      <c r="UC6" s="11">
        <v>0</v>
      </c>
      <c r="UD6" s="11">
        <v>3</v>
      </c>
      <c r="UE6" s="11">
        <v>0</v>
      </c>
      <c r="UF6" s="11">
        <v>255</v>
      </c>
      <c r="UG6" s="11">
        <v>255</v>
      </c>
      <c r="UH6" s="11">
        <v>254</v>
      </c>
      <c r="UI6" s="11">
        <v>255</v>
      </c>
      <c r="UJ6" s="11">
        <v>4</v>
      </c>
      <c r="UK6" s="11">
        <v>0</v>
      </c>
      <c r="UL6" s="11">
        <v>17</v>
      </c>
      <c r="UM6" s="11">
        <v>33</v>
      </c>
      <c r="UN6" s="11">
        <v>50</v>
      </c>
      <c r="UO6" s="11">
        <v>67</v>
      </c>
      <c r="UP6" s="11">
        <v>83</v>
      </c>
      <c r="UQ6" s="11">
        <v>100</v>
      </c>
      <c r="UR6" s="11">
        <v>0</v>
      </c>
      <c r="US6" s="11">
        <v>0</v>
      </c>
      <c r="UT6" s="11">
        <v>17</v>
      </c>
      <c r="UU6" s="11">
        <v>33</v>
      </c>
      <c r="UV6" s="11">
        <v>50</v>
      </c>
      <c r="UW6" s="11">
        <v>67</v>
      </c>
      <c r="UX6" s="11">
        <v>83</v>
      </c>
      <c r="UY6" s="11">
        <v>100</v>
      </c>
      <c r="UZ6" s="11">
        <v>0</v>
      </c>
      <c r="VA6" s="11">
        <v>156</v>
      </c>
      <c r="VB6" s="11">
        <v>189</v>
      </c>
      <c r="VC6" s="11">
        <v>223</v>
      </c>
      <c r="VD6" s="11">
        <v>0</v>
      </c>
      <c r="VE6" s="11">
        <v>33</v>
      </c>
      <c r="VF6" s="11">
        <v>67</v>
      </c>
      <c r="VG6" s="11">
        <v>100</v>
      </c>
      <c r="VH6" s="11">
        <v>0</v>
      </c>
      <c r="VI6" s="11">
        <v>156</v>
      </c>
      <c r="VJ6" s="11">
        <v>189</v>
      </c>
      <c r="VK6" s="11">
        <v>223</v>
      </c>
      <c r="VL6" s="11">
        <v>0</v>
      </c>
      <c r="VM6" s="11">
        <v>33</v>
      </c>
      <c r="VN6" s="11">
        <v>67</v>
      </c>
      <c r="VO6" s="11">
        <v>100</v>
      </c>
      <c r="VP6" s="11">
        <v>0</v>
      </c>
      <c r="VQ6" s="11">
        <v>156</v>
      </c>
      <c r="VR6" s="11">
        <v>189</v>
      </c>
      <c r="VS6" s="11">
        <v>223</v>
      </c>
      <c r="VT6" s="11">
        <v>0</v>
      </c>
      <c r="VU6" s="11">
        <v>33</v>
      </c>
      <c r="VV6" s="11">
        <v>67</v>
      </c>
      <c r="VW6" s="11">
        <v>100</v>
      </c>
      <c r="VX6" s="11">
        <v>20</v>
      </c>
      <c r="VY6" s="11">
        <v>156</v>
      </c>
      <c r="VZ6" s="11">
        <v>189</v>
      </c>
      <c r="WA6" s="11">
        <v>223</v>
      </c>
      <c r="WB6" s="11">
        <v>0</v>
      </c>
      <c r="WC6" s="11">
        <v>33</v>
      </c>
      <c r="WD6" s="11">
        <v>67</v>
      </c>
      <c r="WE6" s="11">
        <v>100</v>
      </c>
      <c r="WF6" s="11">
        <v>20</v>
      </c>
      <c r="WG6" s="11">
        <v>0</v>
      </c>
      <c r="WH6" s="11">
        <v>1</v>
      </c>
      <c r="WI6" s="11">
        <v>2</v>
      </c>
      <c r="WJ6" s="11">
        <v>3</v>
      </c>
      <c r="WK6" s="11">
        <v>4</v>
      </c>
      <c r="WL6" s="11">
        <v>5</v>
      </c>
      <c r="WM6" s="11">
        <v>6</v>
      </c>
      <c r="WN6" s="11">
        <v>7</v>
      </c>
      <c r="WO6" s="11">
        <v>0</v>
      </c>
      <c r="WP6" s="11">
        <v>0</v>
      </c>
      <c r="WQ6" s="11">
        <v>0</v>
      </c>
      <c r="WR6" s="11">
        <v>0</v>
      </c>
      <c r="WS6" s="11">
        <v>0</v>
      </c>
      <c r="WT6" s="11">
        <v>0</v>
      </c>
      <c r="WU6" s="11">
        <v>0</v>
      </c>
      <c r="WV6" s="11">
        <v>0</v>
      </c>
      <c r="WW6" s="11">
        <v>0</v>
      </c>
      <c r="WX6" s="11">
        <v>0</v>
      </c>
      <c r="WY6" s="11">
        <v>0</v>
      </c>
      <c r="WZ6" s="11">
        <v>0</v>
      </c>
      <c r="XA6" s="11">
        <v>0</v>
      </c>
      <c r="XB6" s="11">
        <v>0</v>
      </c>
      <c r="XC6" s="11">
        <v>0</v>
      </c>
      <c r="XD6" s="11">
        <v>0</v>
      </c>
      <c r="XE6" s="11">
        <v>0</v>
      </c>
      <c r="XF6" s="11">
        <v>0</v>
      </c>
      <c r="XG6" s="11">
        <v>0</v>
      </c>
      <c r="XH6" s="11">
        <v>0</v>
      </c>
      <c r="XI6" s="11">
        <v>0</v>
      </c>
      <c r="XJ6" s="11">
        <v>0</v>
      </c>
      <c r="XK6" s="11">
        <v>0</v>
      </c>
      <c r="XL6" s="11">
        <v>0</v>
      </c>
      <c r="XM6" s="11">
        <v>0</v>
      </c>
      <c r="XN6" s="11">
        <v>0</v>
      </c>
      <c r="XO6" s="11">
        <v>0</v>
      </c>
      <c r="XP6" s="11">
        <v>0</v>
      </c>
      <c r="XQ6" s="11">
        <v>0</v>
      </c>
      <c r="XR6" s="11">
        <v>0</v>
      </c>
      <c r="XS6" s="11">
        <v>0</v>
      </c>
      <c r="XT6" s="11">
        <v>0</v>
      </c>
      <c r="XU6" s="11">
        <v>0</v>
      </c>
      <c r="XV6" s="11">
        <v>0</v>
      </c>
      <c r="XW6" s="11">
        <v>0</v>
      </c>
      <c r="XX6" s="11">
        <v>0</v>
      </c>
      <c r="XY6" s="11">
        <v>0</v>
      </c>
      <c r="XZ6" s="11">
        <v>0</v>
      </c>
      <c r="YA6" s="11">
        <v>0</v>
      </c>
      <c r="YB6" s="11">
        <v>0</v>
      </c>
      <c r="YC6" s="11">
        <v>0</v>
      </c>
      <c r="YD6" s="11">
        <v>0</v>
      </c>
      <c r="YE6" s="11">
        <v>0</v>
      </c>
      <c r="YF6" s="11">
        <v>0</v>
      </c>
      <c r="YG6" s="11">
        <v>0</v>
      </c>
      <c r="YH6" s="11">
        <v>0</v>
      </c>
      <c r="YI6" s="11">
        <v>0</v>
      </c>
      <c r="YJ6" s="11">
        <v>0</v>
      </c>
      <c r="YK6" s="11">
        <v>0</v>
      </c>
      <c r="YL6" s="11">
        <v>0</v>
      </c>
      <c r="YM6" s="11">
        <v>0</v>
      </c>
      <c r="YN6" s="11">
        <v>0</v>
      </c>
      <c r="YO6" s="11">
        <v>0</v>
      </c>
      <c r="YP6" s="11">
        <v>0</v>
      </c>
      <c r="YQ6" s="11">
        <v>0</v>
      </c>
      <c r="YR6" s="11">
        <v>0</v>
      </c>
      <c r="YS6" s="11">
        <v>156</v>
      </c>
      <c r="YT6" s="11">
        <v>189</v>
      </c>
      <c r="YU6" s="11">
        <v>223</v>
      </c>
      <c r="YV6" s="11">
        <v>0</v>
      </c>
      <c r="YW6" s="11">
        <v>33</v>
      </c>
      <c r="YX6" s="11">
        <v>67</v>
      </c>
      <c r="YY6" s="11">
        <v>100</v>
      </c>
      <c r="YZ6" s="11">
        <v>0</v>
      </c>
      <c r="ZA6" s="11">
        <v>0</v>
      </c>
      <c r="ZB6" s="11">
        <v>0</v>
      </c>
      <c r="ZC6" s="11">
        <v>0</v>
      </c>
      <c r="ZD6" s="11">
        <v>0</v>
      </c>
      <c r="ZE6" s="11">
        <v>0</v>
      </c>
      <c r="ZF6" s="11">
        <v>0</v>
      </c>
      <c r="ZG6" s="11">
        <v>0</v>
      </c>
      <c r="ZH6" s="11">
        <v>0</v>
      </c>
      <c r="ZI6" s="11">
        <v>0</v>
      </c>
      <c r="ZJ6" s="11">
        <v>0</v>
      </c>
      <c r="ZK6" s="11">
        <v>0</v>
      </c>
      <c r="ZL6" s="11">
        <v>0</v>
      </c>
      <c r="ZM6" s="11">
        <v>0</v>
      </c>
      <c r="ZN6" s="11">
        <v>0</v>
      </c>
      <c r="ZO6" s="11">
        <v>0</v>
      </c>
      <c r="ZP6" s="11">
        <v>0</v>
      </c>
      <c r="ZQ6" s="11">
        <v>0</v>
      </c>
      <c r="ZR6" s="11">
        <v>0</v>
      </c>
      <c r="ZS6" s="11">
        <v>0</v>
      </c>
      <c r="ZT6" s="11">
        <v>0</v>
      </c>
      <c r="ZU6" s="11">
        <v>0</v>
      </c>
      <c r="ZV6" s="11">
        <v>0</v>
      </c>
      <c r="ZW6" s="11">
        <v>0</v>
      </c>
      <c r="ZX6" s="11">
        <v>0</v>
      </c>
      <c r="ZY6" s="11">
        <v>0</v>
      </c>
      <c r="ZZ6" s="11">
        <v>0</v>
      </c>
      <c r="AAA6" s="11">
        <v>0</v>
      </c>
      <c r="AAB6" s="11">
        <v>0</v>
      </c>
      <c r="AAC6" s="11">
        <v>0</v>
      </c>
      <c r="AAD6" s="11">
        <v>0</v>
      </c>
      <c r="AAE6" s="11">
        <v>0</v>
      </c>
      <c r="AAF6" s="11">
        <v>0</v>
      </c>
      <c r="AAG6" s="11">
        <v>0</v>
      </c>
      <c r="AAH6" s="11">
        <v>0</v>
      </c>
      <c r="AAI6" s="11">
        <v>0</v>
      </c>
      <c r="AAJ6" s="11">
        <v>0</v>
      </c>
      <c r="AAK6" s="11">
        <v>0</v>
      </c>
      <c r="AAL6" s="11">
        <v>0</v>
      </c>
      <c r="AAM6" s="11">
        <v>0</v>
      </c>
      <c r="AAN6" s="11">
        <v>0</v>
      </c>
      <c r="AAO6" s="11">
        <v>0</v>
      </c>
      <c r="AAP6" s="11">
        <v>0</v>
      </c>
      <c r="AAQ6" s="11">
        <v>0</v>
      </c>
      <c r="AAR6" s="11">
        <v>0</v>
      </c>
      <c r="AAS6" s="11">
        <v>0</v>
      </c>
      <c r="AAT6" s="11">
        <v>0</v>
      </c>
      <c r="AAU6" s="11">
        <v>0</v>
      </c>
      <c r="AAV6" s="11">
        <v>0</v>
      </c>
      <c r="AAW6" s="11">
        <v>0</v>
      </c>
      <c r="AAX6" s="11">
        <v>0</v>
      </c>
      <c r="AAY6" s="11">
        <v>0</v>
      </c>
      <c r="AAZ6" s="11">
        <v>0</v>
      </c>
      <c r="ABA6" s="11">
        <v>0</v>
      </c>
      <c r="ABB6" s="11">
        <v>0</v>
      </c>
      <c r="ABC6" s="11">
        <v>0</v>
      </c>
      <c r="ABD6" s="11">
        <v>0</v>
      </c>
      <c r="ABE6" s="11">
        <v>0</v>
      </c>
      <c r="ABF6" s="11">
        <v>0</v>
      </c>
      <c r="ABG6" s="11">
        <v>0</v>
      </c>
      <c r="ABH6" s="11">
        <v>0</v>
      </c>
      <c r="ABI6" s="11">
        <v>0</v>
      </c>
      <c r="ABJ6" s="11">
        <v>0</v>
      </c>
      <c r="ABK6" s="11">
        <v>0</v>
      </c>
      <c r="ABL6" s="11">
        <v>0</v>
      </c>
      <c r="ABM6" s="11">
        <v>0</v>
      </c>
      <c r="ABN6" s="11">
        <v>0</v>
      </c>
      <c r="ABO6" s="11">
        <v>0</v>
      </c>
      <c r="ABP6" s="11">
        <v>0</v>
      </c>
      <c r="ABQ6" s="11">
        <v>0</v>
      </c>
      <c r="ABR6" s="11">
        <v>0</v>
      </c>
      <c r="ABS6" s="11">
        <v>0</v>
      </c>
      <c r="ABT6" s="11">
        <v>0</v>
      </c>
      <c r="ABU6" s="11">
        <v>0</v>
      </c>
      <c r="ABV6" s="11">
        <v>0</v>
      </c>
      <c r="ABW6" s="11">
        <v>0</v>
      </c>
      <c r="ABX6" s="11">
        <v>0</v>
      </c>
      <c r="ABY6" s="11">
        <v>0</v>
      </c>
      <c r="ABZ6" s="11">
        <v>0</v>
      </c>
      <c r="ACA6" s="11">
        <v>0</v>
      </c>
      <c r="ACB6" s="11">
        <v>0</v>
      </c>
      <c r="ACC6" s="11">
        <v>0</v>
      </c>
      <c r="ACD6" s="11">
        <v>0</v>
      </c>
      <c r="ACE6" s="11">
        <v>0</v>
      </c>
      <c r="ACF6" s="11">
        <v>0</v>
      </c>
      <c r="ACG6" s="11">
        <v>0</v>
      </c>
      <c r="ACH6" s="11">
        <v>0</v>
      </c>
      <c r="ACI6" s="11">
        <v>0</v>
      </c>
      <c r="ACJ6" s="11">
        <v>0</v>
      </c>
      <c r="ACK6" s="11">
        <v>0</v>
      </c>
      <c r="ACL6" s="11">
        <v>0</v>
      </c>
      <c r="ACM6" s="11">
        <v>0</v>
      </c>
      <c r="ACN6" s="11">
        <v>0</v>
      </c>
      <c r="ACO6" s="11">
        <v>0</v>
      </c>
      <c r="ACP6" s="11">
        <v>0</v>
      </c>
      <c r="ACQ6" s="11">
        <v>0</v>
      </c>
      <c r="ACR6" s="11">
        <v>0</v>
      </c>
      <c r="ACS6" s="11">
        <v>0</v>
      </c>
      <c r="ACT6" s="11">
        <v>0</v>
      </c>
      <c r="ACU6" s="11">
        <v>0</v>
      </c>
      <c r="ACV6" s="11">
        <v>0</v>
      </c>
      <c r="ACW6" s="11">
        <v>0</v>
      </c>
      <c r="ACX6" s="11">
        <v>0</v>
      </c>
      <c r="ACY6" s="11">
        <v>0</v>
      </c>
      <c r="ACZ6" s="11">
        <v>0</v>
      </c>
      <c r="ADA6" s="11">
        <v>0</v>
      </c>
      <c r="ADB6" s="11">
        <v>0</v>
      </c>
      <c r="ADC6" s="11">
        <v>0</v>
      </c>
      <c r="ADD6" s="11">
        <v>0</v>
      </c>
      <c r="ADE6" s="11">
        <v>0</v>
      </c>
      <c r="ADF6" s="11">
        <v>0</v>
      </c>
      <c r="ADG6" s="11">
        <v>0</v>
      </c>
      <c r="ADH6" s="11">
        <v>0</v>
      </c>
      <c r="ADI6" s="11">
        <v>0</v>
      </c>
      <c r="ADJ6" s="11">
        <v>0</v>
      </c>
      <c r="ADK6" s="11">
        <v>0</v>
      </c>
      <c r="ADL6" s="11">
        <v>0</v>
      </c>
      <c r="ADM6" s="11">
        <v>0</v>
      </c>
      <c r="ADN6" s="11">
        <v>0</v>
      </c>
      <c r="ADO6" s="11">
        <v>0</v>
      </c>
      <c r="ADP6" s="11">
        <v>0</v>
      </c>
      <c r="ADQ6" s="11">
        <v>0</v>
      </c>
      <c r="ADR6" s="11">
        <v>0</v>
      </c>
      <c r="ADS6" s="11">
        <v>0</v>
      </c>
      <c r="ADT6" s="11">
        <v>0</v>
      </c>
      <c r="ADU6" s="11">
        <v>0</v>
      </c>
      <c r="ADV6" s="11">
        <v>0</v>
      </c>
      <c r="ADW6" s="11">
        <v>0</v>
      </c>
      <c r="ADX6" s="11">
        <v>0</v>
      </c>
      <c r="ADY6" s="11">
        <v>0</v>
      </c>
      <c r="ADZ6" s="11">
        <v>0</v>
      </c>
      <c r="AEA6" s="11">
        <v>0</v>
      </c>
      <c r="AEB6" s="11">
        <v>0</v>
      </c>
      <c r="AEC6" s="11">
        <v>0</v>
      </c>
      <c r="AED6" s="11">
        <v>0</v>
      </c>
      <c r="AEE6" s="11">
        <v>0</v>
      </c>
      <c r="AEF6" s="11">
        <v>0</v>
      </c>
      <c r="AEG6" s="11">
        <v>0</v>
      </c>
      <c r="AEH6" s="11">
        <v>0</v>
      </c>
      <c r="AEI6" s="11">
        <v>0</v>
      </c>
      <c r="AEJ6" s="11">
        <v>0</v>
      </c>
      <c r="AEK6" s="11">
        <v>0</v>
      </c>
      <c r="AEL6" s="11">
        <v>0</v>
      </c>
      <c r="AEM6" s="11">
        <v>0</v>
      </c>
      <c r="AEN6" s="11">
        <v>0</v>
      </c>
      <c r="AEO6" s="11">
        <v>0</v>
      </c>
      <c r="AEP6" s="11">
        <v>0</v>
      </c>
      <c r="AEQ6" s="11">
        <v>0</v>
      </c>
      <c r="AER6" s="11">
        <v>0</v>
      </c>
      <c r="AES6" s="11">
        <v>0</v>
      </c>
      <c r="AET6" s="11">
        <v>0</v>
      </c>
      <c r="AEU6" s="11">
        <v>0</v>
      </c>
      <c r="AEV6" s="11">
        <v>0</v>
      </c>
      <c r="AEW6" s="11">
        <v>0</v>
      </c>
      <c r="AEX6" s="11">
        <v>0</v>
      </c>
      <c r="AEY6" s="11">
        <v>0</v>
      </c>
      <c r="AEZ6" s="11">
        <v>0</v>
      </c>
      <c r="AFA6" s="11">
        <v>0</v>
      </c>
      <c r="AFB6" s="11">
        <v>0</v>
      </c>
      <c r="AFC6" s="11">
        <v>0</v>
      </c>
      <c r="AFD6" s="11">
        <v>0</v>
      </c>
      <c r="AFE6" s="11">
        <v>0</v>
      </c>
      <c r="AFF6" s="11">
        <v>0</v>
      </c>
      <c r="AFG6" s="11">
        <v>0</v>
      </c>
      <c r="AFH6" s="11">
        <v>0</v>
      </c>
      <c r="AFI6" s="11">
        <v>0</v>
      </c>
      <c r="AFJ6" s="11">
        <v>0</v>
      </c>
      <c r="AFK6" s="11">
        <v>0</v>
      </c>
      <c r="AFL6" s="11">
        <v>0</v>
      </c>
      <c r="AFM6" s="11">
        <v>0</v>
      </c>
      <c r="AFN6" s="11">
        <v>0</v>
      </c>
      <c r="AFO6" s="11">
        <v>0</v>
      </c>
      <c r="AFP6" s="11">
        <v>0</v>
      </c>
      <c r="AFQ6" s="11">
        <v>0</v>
      </c>
      <c r="AFR6" s="11">
        <v>0</v>
      </c>
      <c r="AFS6" s="11">
        <v>0</v>
      </c>
      <c r="AFT6" s="11">
        <v>0</v>
      </c>
      <c r="AFU6" s="11">
        <v>0</v>
      </c>
      <c r="AFV6" s="11">
        <v>0</v>
      </c>
      <c r="AFW6" s="11">
        <v>0</v>
      </c>
      <c r="AFX6" s="11">
        <v>0</v>
      </c>
      <c r="AFY6" s="11">
        <v>0</v>
      </c>
      <c r="AFZ6" s="11">
        <v>0</v>
      </c>
      <c r="AGA6" s="11">
        <v>0</v>
      </c>
      <c r="AGB6" s="11">
        <v>0</v>
      </c>
      <c r="AGC6" s="11">
        <v>0</v>
      </c>
      <c r="AGD6" s="11">
        <v>0</v>
      </c>
      <c r="AGE6" s="11">
        <v>0</v>
      </c>
      <c r="AGF6" s="11">
        <v>0</v>
      </c>
      <c r="AGG6" s="11">
        <v>0</v>
      </c>
      <c r="AGH6" s="11">
        <v>0</v>
      </c>
      <c r="AGI6" s="11">
        <v>0</v>
      </c>
      <c r="AGJ6" s="11">
        <v>0</v>
      </c>
      <c r="AGK6" s="11">
        <v>0</v>
      </c>
      <c r="AGL6" s="11">
        <v>0</v>
      </c>
      <c r="AGM6" s="11">
        <v>0</v>
      </c>
      <c r="AGN6" s="11">
        <v>0</v>
      </c>
      <c r="AGO6" s="11">
        <v>0</v>
      </c>
      <c r="AGP6" s="11">
        <v>0</v>
      </c>
      <c r="AGQ6" s="11">
        <v>0</v>
      </c>
      <c r="AGR6" s="11">
        <v>0</v>
      </c>
      <c r="AGS6" s="11">
        <v>0</v>
      </c>
      <c r="AGT6" s="11">
        <v>0</v>
      </c>
      <c r="AGU6" s="11">
        <v>0</v>
      </c>
      <c r="AGV6" s="11">
        <v>0</v>
      </c>
      <c r="AGW6" s="11">
        <v>0</v>
      </c>
      <c r="AGX6" s="11">
        <v>0</v>
      </c>
      <c r="AGY6" s="11">
        <v>0</v>
      </c>
      <c r="AGZ6" s="11">
        <v>0</v>
      </c>
      <c r="AHA6" s="11">
        <v>0</v>
      </c>
      <c r="AHB6" s="11">
        <v>0</v>
      </c>
      <c r="AHC6" s="11">
        <v>0</v>
      </c>
      <c r="AHD6" s="11">
        <v>0</v>
      </c>
      <c r="AHE6" s="11">
        <v>0</v>
      </c>
      <c r="AHF6" s="11">
        <v>0</v>
      </c>
      <c r="AHG6" s="11">
        <v>0</v>
      </c>
      <c r="AHH6" s="11">
        <v>0</v>
      </c>
      <c r="AHI6" s="11">
        <v>0</v>
      </c>
      <c r="AHJ6" s="11">
        <v>0</v>
      </c>
      <c r="AHK6" s="11">
        <v>0</v>
      </c>
      <c r="AHL6" s="11">
        <v>0</v>
      </c>
      <c r="AHM6" s="11">
        <v>0</v>
      </c>
      <c r="AHN6" s="11">
        <v>0</v>
      </c>
      <c r="AHO6" s="11">
        <v>0</v>
      </c>
      <c r="AHP6" s="11">
        <v>0</v>
      </c>
      <c r="AHQ6" s="11">
        <v>0</v>
      </c>
      <c r="AHR6" s="11">
        <v>0</v>
      </c>
      <c r="AHS6" s="11">
        <v>0</v>
      </c>
      <c r="AHT6" s="11">
        <v>0</v>
      </c>
      <c r="AHU6" s="11">
        <v>0</v>
      </c>
      <c r="AHV6" s="11">
        <v>0</v>
      </c>
      <c r="AHW6" s="11">
        <v>0</v>
      </c>
      <c r="AHX6" s="11">
        <v>0</v>
      </c>
      <c r="AHY6" s="11">
        <v>0</v>
      </c>
      <c r="AHZ6" s="11">
        <v>0</v>
      </c>
      <c r="AIA6" s="11">
        <v>0</v>
      </c>
      <c r="AIB6" s="11">
        <v>0</v>
      </c>
      <c r="AIC6" s="11">
        <v>0</v>
      </c>
      <c r="AID6" s="11">
        <v>0</v>
      </c>
      <c r="AIE6" s="11">
        <v>0</v>
      </c>
      <c r="AIF6" s="11">
        <v>0</v>
      </c>
      <c r="AIG6" s="11">
        <v>0</v>
      </c>
      <c r="AIH6" s="11">
        <v>0</v>
      </c>
      <c r="AII6" s="11">
        <v>0</v>
      </c>
      <c r="AIJ6" s="11">
        <v>0</v>
      </c>
      <c r="AIK6" s="11">
        <v>0</v>
      </c>
      <c r="AIL6" s="11">
        <v>0</v>
      </c>
      <c r="AIM6" s="11">
        <v>0</v>
      </c>
      <c r="AIN6" s="11">
        <v>0</v>
      </c>
      <c r="AIO6" s="11">
        <v>0</v>
      </c>
      <c r="AIP6" s="11">
        <v>0</v>
      </c>
      <c r="AIQ6" s="11">
        <v>0</v>
      </c>
      <c r="AIR6" s="11">
        <v>0</v>
      </c>
      <c r="AIS6" s="11">
        <v>0</v>
      </c>
      <c r="AIT6" s="11">
        <v>0</v>
      </c>
      <c r="AIU6" s="11">
        <v>0</v>
      </c>
      <c r="AIV6" s="11">
        <v>0</v>
      </c>
      <c r="AIW6" s="11">
        <v>0</v>
      </c>
      <c r="AIX6" s="11">
        <v>0</v>
      </c>
      <c r="AIY6" s="11">
        <v>0</v>
      </c>
      <c r="AIZ6" s="11">
        <v>0</v>
      </c>
      <c r="AJA6" s="11">
        <v>0</v>
      </c>
      <c r="AJB6" s="11">
        <v>0</v>
      </c>
      <c r="AJC6" s="11">
        <v>0</v>
      </c>
      <c r="AJD6" s="11">
        <v>0</v>
      </c>
      <c r="AJE6" s="11">
        <v>0</v>
      </c>
      <c r="AJF6" s="11">
        <v>0</v>
      </c>
      <c r="AJG6" s="11">
        <v>0</v>
      </c>
      <c r="AJH6" s="11">
        <v>0</v>
      </c>
      <c r="AJI6" s="11">
        <v>0</v>
      </c>
      <c r="AJJ6" s="11">
        <v>0</v>
      </c>
      <c r="AJK6" s="11">
        <v>0</v>
      </c>
      <c r="AJL6" s="11">
        <v>0</v>
      </c>
      <c r="AJM6" s="11">
        <v>0</v>
      </c>
      <c r="AJN6" s="11">
        <v>0</v>
      </c>
      <c r="AJO6" s="11">
        <v>0</v>
      </c>
      <c r="AJP6" s="11">
        <v>0</v>
      </c>
      <c r="AJQ6" s="11">
        <v>0</v>
      </c>
      <c r="AJR6" s="11">
        <v>0</v>
      </c>
      <c r="AJS6" s="11">
        <v>0</v>
      </c>
      <c r="AJT6" s="11">
        <v>0</v>
      </c>
      <c r="AJU6" s="11">
        <v>0</v>
      </c>
      <c r="AJV6" s="11">
        <v>0</v>
      </c>
      <c r="AJW6" s="11">
        <v>0</v>
      </c>
      <c r="AJX6" s="11">
        <v>0</v>
      </c>
      <c r="AJY6" s="11">
        <v>0</v>
      </c>
      <c r="AJZ6" s="11">
        <v>0</v>
      </c>
      <c r="AKA6" s="11">
        <v>0</v>
      </c>
      <c r="AKB6" s="11">
        <v>0</v>
      </c>
      <c r="AKC6" s="11">
        <v>0</v>
      </c>
      <c r="AKD6" s="11">
        <v>0</v>
      </c>
      <c r="AKE6" s="11">
        <v>0</v>
      </c>
      <c r="AKF6" s="11">
        <v>0</v>
      </c>
      <c r="AKG6" s="11">
        <v>0</v>
      </c>
      <c r="AKH6" s="11">
        <v>0</v>
      </c>
      <c r="AKI6" s="11">
        <v>0</v>
      </c>
      <c r="AKJ6" s="11">
        <v>0</v>
      </c>
      <c r="AKK6" s="11">
        <v>0</v>
      </c>
      <c r="AKL6" s="11">
        <v>0</v>
      </c>
      <c r="AKM6" s="11">
        <v>0</v>
      </c>
      <c r="AKN6" s="11">
        <v>0</v>
      </c>
      <c r="AKO6" s="11">
        <v>0</v>
      </c>
      <c r="AKP6" s="11">
        <v>0</v>
      </c>
      <c r="AKQ6" s="11">
        <v>0</v>
      </c>
      <c r="AKR6" s="11">
        <v>0</v>
      </c>
      <c r="AKS6" s="11">
        <v>0</v>
      </c>
      <c r="AKT6" s="11">
        <v>0</v>
      </c>
      <c r="AKU6" s="11">
        <v>0</v>
      </c>
      <c r="AKV6" s="11">
        <v>0</v>
      </c>
      <c r="AKW6" s="11">
        <v>0</v>
      </c>
      <c r="AKX6" s="11">
        <v>0</v>
      </c>
      <c r="AKY6" s="11">
        <v>0</v>
      </c>
      <c r="AKZ6" s="11">
        <v>0</v>
      </c>
      <c r="ALA6" s="11">
        <v>0</v>
      </c>
      <c r="ALB6" s="11">
        <v>0</v>
      </c>
      <c r="ALC6" s="11">
        <v>0</v>
      </c>
      <c r="ALD6" s="11">
        <v>0</v>
      </c>
      <c r="ALE6" s="11">
        <v>0</v>
      </c>
      <c r="ALF6" s="11">
        <v>0</v>
      </c>
      <c r="ALG6" s="11">
        <v>0</v>
      </c>
      <c r="ALH6" s="11">
        <v>0</v>
      </c>
      <c r="ALI6" s="11">
        <v>0</v>
      </c>
      <c r="ALJ6" s="11">
        <v>0</v>
      </c>
      <c r="ALK6" s="11">
        <v>0</v>
      </c>
      <c r="ALL6" s="11">
        <v>0</v>
      </c>
      <c r="ALM6" s="11">
        <v>0</v>
      </c>
      <c r="ALN6" s="11">
        <v>0</v>
      </c>
      <c r="ALO6" s="11">
        <v>0</v>
      </c>
      <c r="ALP6" s="11">
        <v>0</v>
      </c>
      <c r="ALQ6" s="11">
        <v>0</v>
      </c>
      <c r="ALR6" s="11">
        <v>0</v>
      </c>
      <c r="ALS6" s="11">
        <v>0</v>
      </c>
      <c r="ALT6" s="11">
        <v>0</v>
      </c>
      <c r="ALU6" s="11">
        <v>0</v>
      </c>
      <c r="ALV6" s="11">
        <v>0</v>
      </c>
      <c r="ALW6" s="11">
        <v>0</v>
      </c>
      <c r="ALX6" s="11">
        <v>0</v>
      </c>
      <c r="ALY6" s="11">
        <v>0</v>
      </c>
      <c r="ALZ6" s="11">
        <v>0</v>
      </c>
      <c r="AMA6" s="11">
        <v>0</v>
      </c>
      <c r="AMB6" s="11">
        <v>0</v>
      </c>
      <c r="AMC6" s="11">
        <v>0</v>
      </c>
      <c r="AMD6" s="11">
        <v>0</v>
      </c>
      <c r="AME6" s="11">
        <v>0</v>
      </c>
      <c r="AMF6" s="11">
        <v>0</v>
      </c>
      <c r="AMG6" s="11">
        <v>0</v>
      </c>
      <c r="AMH6" s="11">
        <v>0</v>
      </c>
      <c r="AMI6" s="11">
        <v>0</v>
      </c>
      <c r="AMJ6" s="11">
        <v>0</v>
      </c>
      <c r="AMK6" s="11">
        <v>0</v>
      </c>
      <c r="AML6" s="11">
        <v>0</v>
      </c>
      <c r="AMM6" s="11">
        <v>0</v>
      </c>
      <c r="AMN6" s="11">
        <v>0</v>
      </c>
      <c r="AMO6" s="11">
        <v>0</v>
      </c>
      <c r="AMP6" s="11">
        <v>0</v>
      </c>
      <c r="AMQ6" s="11">
        <v>0</v>
      </c>
      <c r="AMR6" s="11">
        <v>0</v>
      </c>
      <c r="AMS6" s="11">
        <v>0</v>
      </c>
      <c r="AMT6" s="11">
        <v>0</v>
      </c>
      <c r="AMU6" s="11">
        <v>0</v>
      </c>
      <c r="AMV6" s="11">
        <v>0</v>
      </c>
      <c r="AMW6" s="11">
        <v>0</v>
      </c>
      <c r="AMX6" s="11">
        <v>0</v>
      </c>
      <c r="AMY6" s="11">
        <v>0</v>
      </c>
      <c r="AMZ6" s="11">
        <v>0</v>
      </c>
      <c r="ANA6" s="11">
        <v>0</v>
      </c>
      <c r="ANB6" s="11">
        <v>0</v>
      </c>
      <c r="ANC6" s="11">
        <v>0</v>
      </c>
      <c r="AND6" s="11">
        <v>0</v>
      </c>
      <c r="ANE6" s="11">
        <v>0</v>
      </c>
      <c r="ANF6" s="11">
        <v>0</v>
      </c>
      <c r="ANG6" s="11">
        <v>0</v>
      </c>
      <c r="ANH6" s="11">
        <v>0</v>
      </c>
      <c r="ANI6" s="11">
        <v>0</v>
      </c>
      <c r="ANJ6" s="11">
        <v>0</v>
      </c>
      <c r="ANK6" s="11">
        <v>0</v>
      </c>
      <c r="ANL6" s="11">
        <v>0</v>
      </c>
      <c r="ANM6" s="11">
        <v>0</v>
      </c>
      <c r="ANN6" s="11">
        <v>0</v>
      </c>
      <c r="ANO6" s="11">
        <v>0</v>
      </c>
      <c r="ANP6" s="11">
        <v>0</v>
      </c>
      <c r="ANQ6" s="11">
        <v>0</v>
      </c>
      <c r="ANR6" s="11">
        <v>0</v>
      </c>
      <c r="ANS6" s="11">
        <v>0</v>
      </c>
      <c r="ANT6" s="11">
        <v>0</v>
      </c>
      <c r="ANU6" s="11">
        <v>0</v>
      </c>
      <c r="ANV6" s="11">
        <v>0</v>
      </c>
      <c r="ANW6" s="11">
        <v>0</v>
      </c>
      <c r="ANX6" s="11">
        <v>0</v>
      </c>
      <c r="ANY6" s="11">
        <v>0</v>
      </c>
      <c r="ANZ6" s="11">
        <v>0</v>
      </c>
      <c r="AOA6" s="11">
        <v>0</v>
      </c>
      <c r="AOB6" s="11">
        <v>0</v>
      </c>
      <c r="AOC6" s="11">
        <v>0</v>
      </c>
      <c r="AOD6" s="11">
        <v>0</v>
      </c>
      <c r="AOE6" s="11">
        <v>0</v>
      </c>
      <c r="AOF6" s="11">
        <v>0</v>
      </c>
      <c r="AOG6" s="11">
        <v>0</v>
      </c>
      <c r="AOH6" s="11">
        <v>0</v>
      </c>
      <c r="AOI6" s="11">
        <v>0</v>
      </c>
      <c r="AOJ6" s="11">
        <v>0</v>
      </c>
      <c r="AOK6" s="11">
        <v>0</v>
      </c>
      <c r="AOL6" s="11">
        <v>0</v>
      </c>
      <c r="AOM6" s="11">
        <v>0</v>
      </c>
      <c r="AON6" s="11">
        <v>0</v>
      </c>
      <c r="AOO6" s="11">
        <v>0</v>
      </c>
      <c r="AOP6" s="11">
        <v>0</v>
      </c>
      <c r="AOQ6" s="11">
        <v>0</v>
      </c>
      <c r="AOR6" s="11">
        <v>0</v>
      </c>
      <c r="AOS6" s="11">
        <v>0</v>
      </c>
      <c r="AOT6" s="11">
        <v>0</v>
      </c>
      <c r="AOU6" s="11">
        <v>0</v>
      </c>
      <c r="AOV6" s="11">
        <v>0</v>
      </c>
      <c r="AOW6" s="11">
        <v>0</v>
      </c>
      <c r="AOX6" s="11">
        <v>0</v>
      </c>
      <c r="AOY6" s="11">
        <v>0</v>
      </c>
      <c r="AOZ6" s="11">
        <v>0</v>
      </c>
      <c r="APA6" s="11">
        <v>0</v>
      </c>
      <c r="APB6" s="11">
        <v>0</v>
      </c>
      <c r="APC6" s="11">
        <v>0</v>
      </c>
      <c r="APD6" s="11">
        <v>0</v>
      </c>
      <c r="APE6" s="11">
        <v>0</v>
      </c>
      <c r="APF6" s="11">
        <v>0</v>
      </c>
      <c r="APG6" s="11">
        <v>0</v>
      </c>
      <c r="APH6" s="11">
        <v>0</v>
      </c>
      <c r="API6" s="11">
        <v>0</v>
      </c>
      <c r="APJ6" s="11">
        <v>0</v>
      </c>
      <c r="APK6" s="11">
        <v>0</v>
      </c>
      <c r="APL6" s="11">
        <v>0</v>
      </c>
      <c r="APM6" s="11">
        <v>0</v>
      </c>
      <c r="APN6" s="11">
        <v>0</v>
      </c>
      <c r="APO6" s="11">
        <v>0</v>
      </c>
      <c r="APP6" s="11">
        <v>0</v>
      </c>
      <c r="APQ6" s="11">
        <v>0</v>
      </c>
      <c r="APR6" s="11">
        <v>0</v>
      </c>
      <c r="APS6" s="11">
        <v>0</v>
      </c>
      <c r="APT6" s="11">
        <v>0</v>
      </c>
      <c r="APU6" s="11">
        <v>0</v>
      </c>
      <c r="APV6" s="11">
        <v>0</v>
      </c>
      <c r="APW6" s="11">
        <v>0</v>
      </c>
      <c r="APX6" s="11">
        <v>0</v>
      </c>
      <c r="APY6" s="11">
        <v>0</v>
      </c>
      <c r="APZ6" s="11">
        <v>0</v>
      </c>
      <c r="AQA6" s="11">
        <v>0</v>
      </c>
      <c r="AQB6" s="11">
        <v>0</v>
      </c>
      <c r="AQC6" s="11">
        <v>0</v>
      </c>
      <c r="AQD6" s="11">
        <v>0</v>
      </c>
      <c r="AQE6" s="11">
        <v>0</v>
      </c>
      <c r="AQF6" s="11">
        <v>0</v>
      </c>
      <c r="AQG6" s="11">
        <v>0</v>
      </c>
      <c r="AQH6" s="11">
        <v>0</v>
      </c>
      <c r="AQI6" s="11">
        <v>0</v>
      </c>
      <c r="AQJ6" s="11">
        <v>0</v>
      </c>
      <c r="AQK6" s="11">
        <v>0</v>
      </c>
      <c r="AQL6" s="11">
        <v>0</v>
      </c>
      <c r="AQM6" s="11">
        <v>0</v>
      </c>
      <c r="AQN6" s="11">
        <v>0</v>
      </c>
      <c r="AQO6" s="11">
        <v>0</v>
      </c>
      <c r="AQP6" s="11">
        <v>0</v>
      </c>
      <c r="AQQ6" s="11">
        <v>0</v>
      </c>
      <c r="AQR6" s="11">
        <v>0</v>
      </c>
      <c r="AQS6" s="11">
        <v>0</v>
      </c>
      <c r="AQT6" s="11">
        <v>0</v>
      </c>
      <c r="AQU6" s="11">
        <v>0</v>
      </c>
      <c r="AQV6" s="11">
        <v>0</v>
      </c>
      <c r="AQW6" s="11">
        <v>0</v>
      </c>
      <c r="AQX6" s="11">
        <v>0</v>
      </c>
      <c r="AQY6" s="11">
        <v>0</v>
      </c>
      <c r="AQZ6" s="11">
        <v>0</v>
      </c>
      <c r="ARA6" s="11">
        <v>0</v>
      </c>
      <c r="ARB6" s="11">
        <v>0</v>
      </c>
      <c r="ARC6" s="11">
        <v>0</v>
      </c>
      <c r="ARD6" s="11">
        <v>0</v>
      </c>
      <c r="ARE6" s="11">
        <v>0</v>
      </c>
      <c r="ARF6" s="11">
        <v>0</v>
      </c>
      <c r="ARG6" s="11">
        <v>0</v>
      </c>
      <c r="ARH6" s="11">
        <v>0</v>
      </c>
      <c r="ARI6" s="11">
        <v>0</v>
      </c>
      <c r="ARJ6" s="11">
        <v>0</v>
      </c>
      <c r="ARK6" s="11">
        <v>0</v>
      </c>
      <c r="ARL6" s="11">
        <v>0</v>
      </c>
      <c r="ARM6" s="11">
        <v>0</v>
      </c>
      <c r="ARN6" s="11">
        <v>0</v>
      </c>
      <c r="ARO6" s="11">
        <v>0</v>
      </c>
      <c r="ARP6" s="11">
        <v>0</v>
      </c>
      <c r="ARQ6" s="11">
        <v>0</v>
      </c>
      <c r="ARR6" s="11">
        <v>0</v>
      </c>
      <c r="ARS6" s="11">
        <v>0</v>
      </c>
      <c r="ART6" s="11">
        <v>0</v>
      </c>
      <c r="ARU6" s="11">
        <v>0</v>
      </c>
      <c r="ARV6" s="11">
        <v>0</v>
      </c>
      <c r="ARW6" s="11">
        <v>0</v>
      </c>
      <c r="ARX6" s="11">
        <v>0</v>
      </c>
      <c r="ARY6" s="11">
        <v>0</v>
      </c>
      <c r="ARZ6" s="11">
        <v>0</v>
      </c>
      <c r="ASA6" s="11">
        <v>0</v>
      </c>
      <c r="ASB6" s="11">
        <v>0</v>
      </c>
      <c r="ASC6" s="11">
        <v>0</v>
      </c>
      <c r="ASD6" s="11">
        <v>0</v>
      </c>
      <c r="ASE6" s="11">
        <v>0</v>
      </c>
      <c r="ASF6" s="11">
        <v>0</v>
      </c>
      <c r="ASG6" s="11">
        <v>0</v>
      </c>
      <c r="ASH6" s="11">
        <v>0</v>
      </c>
      <c r="ASI6" s="11">
        <v>0</v>
      </c>
      <c r="ASJ6" s="11">
        <v>0</v>
      </c>
      <c r="ASK6" s="11">
        <v>0</v>
      </c>
      <c r="ASL6" s="11">
        <v>0</v>
      </c>
      <c r="ASM6" s="11">
        <v>0</v>
      </c>
      <c r="ASN6" s="11">
        <v>0</v>
      </c>
      <c r="ASO6" s="11">
        <v>0</v>
      </c>
      <c r="ASP6" s="11">
        <v>0</v>
      </c>
      <c r="ASQ6" s="11">
        <v>0</v>
      </c>
      <c r="ASR6" s="11">
        <v>0</v>
      </c>
      <c r="ASS6" s="11">
        <v>0</v>
      </c>
      <c r="AST6" s="11">
        <v>0</v>
      </c>
      <c r="ASU6" s="11">
        <v>0</v>
      </c>
      <c r="ASV6" s="11">
        <v>0</v>
      </c>
      <c r="ASW6" s="11">
        <v>0</v>
      </c>
      <c r="ASX6" s="11">
        <v>0</v>
      </c>
      <c r="ASY6" s="11">
        <v>0</v>
      </c>
      <c r="ASZ6" s="11">
        <v>0</v>
      </c>
      <c r="ATA6" s="11">
        <v>0</v>
      </c>
      <c r="ATB6" s="11">
        <v>0</v>
      </c>
      <c r="ATC6" s="11">
        <v>0</v>
      </c>
      <c r="ATD6" s="11">
        <v>0</v>
      </c>
      <c r="ATE6" s="11">
        <v>0</v>
      </c>
      <c r="ATF6" s="11">
        <v>0</v>
      </c>
      <c r="ATG6" s="11">
        <v>0</v>
      </c>
      <c r="ATH6" s="11">
        <v>0</v>
      </c>
      <c r="ATI6" s="11">
        <v>0</v>
      </c>
      <c r="ATJ6" s="11">
        <v>0</v>
      </c>
      <c r="ATK6" s="11">
        <v>0</v>
      </c>
      <c r="ATL6" s="11">
        <v>0</v>
      </c>
      <c r="ATM6" s="11">
        <v>0</v>
      </c>
      <c r="ATN6" s="11">
        <v>0</v>
      </c>
      <c r="ATO6" s="11">
        <v>0</v>
      </c>
      <c r="ATP6" s="11">
        <v>0</v>
      </c>
      <c r="ATQ6" s="11">
        <v>0</v>
      </c>
      <c r="ATR6" s="11">
        <v>0</v>
      </c>
      <c r="ATS6" s="11">
        <v>0</v>
      </c>
      <c r="ATT6" s="11">
        <v>0</v>
      </c>
      <c r="ATU6" s="11">
        <v>0</v>
      </c>
      <c r="ATV6" s="11">
        <v>0</v>
      </c>
      <c r="ATW6" s="11">
        <v>0</v>
      </c>
      <c r="ATX6" s="11">
        <v>0</v>
      </c>
      <c r="ATY6" s="11">
        <v>0</v>
      </c>
      <c r="ATZ6" s="11">
        <v>0</v>
      </c>
      <c r="AUA6" s="11">
        <v>0</v>
      </c>
      <c r="AUB6" s="11">
        <v>0</v>
      </c>
      <c r="AUC6" s="11">
        <v>0</v>
      </c>
      <c r="AUD6" s="11">
        <v>0</v>
      </c>
      <c r="AUE6" s="11">
        <v>0</v>
      </c>
      <c r="AUF6" s="11">
        <v>0</v>
      </c>
      <c r="AUG6" s="11">
        <v>0</v>
      </c>
      <c r="AUH6" s="11">
        <v>0</v>
      </c>
      <c r="AUI6" s="11">
        <v>0</v>
      </c>
      <c r="AUJ6" s="11">
        <v>0</v>
      </c>
      <c r="AUK6" s="11">
        <v>0</v>
      </c>
      <c r="AUL6" s="11">
        <v>0</v>
      </c>
      <c r="AUM6" s="11">
        <v>0</v>
      </c>
      <c r="AUN6" s="11">
        <v>0</v>
      </c>
      <c r="AUO6" s="11">
        <v>0</v>
      </c>
      <c r="AUP6" s="11">
        <v>0</v>
      </c>
      <c r="AUQ6" s="11">
        <v>0</v>
      </c>
      <c r="AUR6" s="11">
        <v>0</v>
      </c>
      <c r="AUS6" s="11">
        <v>0</v>
      </c>
      <c r="AUT6" s="11">
        <v>0</v>
      </c>
      <c r="AUU6" s="11">
        <v>0</v>
      </c>
      <c r="AUV6" s="11">
        <v>0</v>
      </c>
      <c r="AUW6" s="11">
        <v>0</v>
      </c>
      <c r="AUX6" s="11">
        <v>0</v>
      </c>
      <c r="AUY6" s="11">
        <v>0</v>
      </c>
      <c r="AUZ6" s="11">
        <v>0</v>
      </c>
      <c r="AVA6" s="11">
        <v>0</v>
      </c>
      <c r="AVB6" s="11">
        <v>0</v>
      </c>
      <c r="AVC6" s="11">
        <v>0</v>
      </c>
      <c r="AVD6" s="11">
        <v>0</v>
      </c>
      <c r="AVE6" s="11">
        <v>0</v>
      </c>
      <c r="AVF6" s="11">
        <v>0</v>
      </c>
      <c r="AVG6" s="11">
        <v>0</v>
      </c>
      <c r="AVH6" s="11">
        <v>0</v>
      </c>
      <c r="AVI6" s="11">
        <v>0</v>
      </c>
      <c r="AVJ6" s="11">
        <v>0</v>
      </c>
      <c r="AVK6" s="11">
        <v>0</v>
      </c>
      <c r="AVL6" s="11">
        <v>0</v>
      </c>
      <c r="AVM6" s="11">
        <v>0</v>
      </c>
      <c r="AVN6" s="11">
        <v>0</v>
      </c>
      <c r="AVO6" s="11">
        <v>0</v>
      </c>
      <c r="AVP6" s="11">
        <v>0</v>
      </c>
      <c r="AVQ6" s="11">
        <v>0</v>
      </c>
      <c r="AVR6" s="11">
        <v>0</v>
      </c>
      <c r="AVS6" s="11">
        <v>0</v>
      </c>
      <c r="AVT6" s="11">
        <v>0</v>
      </c>
      <c r="AVU6" s="11">
        <v>0</v>
      </c>
      <c r="AVV6" s="11">
        <v>0</v>
      </c>
      <c r="AVW6" s="11">
        <v>0</v>
      </c>
      <c r="AVX6" s="11">
        <v>0</v>
      </c>
      <c r="AVY6" s="11">
        <v>0</v>
      </c>
      <c r="AVZ6" s="11">
        <v>0</v>
      </c>
      <c r="AWA6" s="11">
        <v>0</v>
      </c>
      <c r="AWB6" s="11">
        <v>0</v>
      </c>
      <c r="AWC6" s="11">
        <v>0</v>
      </c>
      <c r="AWD6" s="11">
        <v>0</v>
      </c>
      <c r="AWE6" s="11">
        <v>0</v>
      </c>
      <c r="AWF6" s="11">
        <v>0</v>
      </c>
      <c r="AWG6" s="11">
        <v>0</v>
      </c>
      <c r="AWH6" s="11">
        <v>0</v>
      </c>
      <c r="AWI6" s="11">
        <v>0</v>
      </c>
      <c r="AWJ6" s="11">
        <v>0</v>
      </c>
      <c r="AWK6" s="11">
        <v>0</v>
      </c>
      <c r="AWL6" s="11">
        <v>0</v>
      </c>
      <c r="AWM6" s="11">
        <v>0</v>
      </c>
      <c r="AWN6" s="11">
        <v>0</v>
      </c>
      <c r="AWO6" s="11">
        <v>0</v>
      </c>
      <c r="AWP6" s="11">
        <v>0</v>
      </c>
      <c r="AWQ6" s="11">
        <v>0</v>
      </c>
      <c r="AWR6" s="11">
        <v>0</v>
      </c>
      <c r="AWS6" s="11">
        <v>0</v>
      </c>
      <c r="AWT6" s="11">
        <v>0</v>
      </c>
      <c r="AWU6" s="11">
        <v>0</v>
      </c>
      <c r="AWV6" s="11">
        <v>0</v>
      </c>
      <c r="AWW6" s="11">
        <v>0</v>
      </c>
      <c r="AWX6" s="11">
        <v>0</v>
      </c>
      <c r="AWY6" s="11">
        <v>0</v>
      </c>
      <c r="AWZ6" s="11">
        <v>0</v>
      </c>
      <c r="AXA6" s="11">
        <v>0</v>
      </c>
      <c r="AXB6" s="11">
        <v>0</v>
      </c>
      <c r="AXC6" s="11">
        <v>0</v>
      </c>
      <c r="AXD6" s="11">
        <v>0</v>
      </c>
      <c r="AXE6" s="11">
        <v>0</v>
      </c>
      <c r="AXF6" s="11">
        <v>0</v>
      </c>
      <c r="AXG6" s="11">
        <v>0</v>
      </c>
      <c r="AXH6" s="11">
        <v>0</v>
      </c>
      <c r="AXI6" s="11">
        <v>0</v>
      </c>
      <c r="AXJ6" s="11">
        <v>0</v>
      </c>
      <c r="AXK6" s="11">
        <v>0</v>
      </c>
      <c r="AXL6" s="11">
        <v>0</v>
      </c>
      <c r="AXM6" s="11">
        <v>0</v>
      </c>
      <c r="AXN6" s="11">
        <v>0</v>
      </c>
      <c r="AXO6" s="11">
        <v>0</v>
      </c>
      <c r="AXP6" s="11">
        <v>0</v>
      </c>
      <c r="AXQ6" s="11">
        <v>0</v>
      </c>
      <c r="AXR6" s="11">
        <v>0</v>
      </c>
      <c r="AXS6" s="11">
        <v>0</v>
      </c>
      <c r="AXT6" s="11">
        <v>0</v>
      </c>
      <c r="AXU6" s="11">
        <v>0</v>
      </c>
      <c r="AXV6" s="11">
        <v>0</v>
      </c>
      <c r="AXW6" s="11">
        <v>0</v>
      </c>
      <c r="AXX6" s="11">
        <v>0</v>
      </c>
      <c r="AXY6" s="11">
        <v>0</v>
      </c>
      <c r="AXZ6" s="11">
        <v>0</v>
      </c>
      <c r="AYA6" s="11">
        <v>0</v>
      </c>
      <c r="AYB6" s="11">
        <v>0</v>
      </c>
      <c r="AYC6" s="11">
        <v>0</v>
      </c>
      <c r="AYD6" s="11">
        <v>0</v>
      </c>
      <c r="AYE6" s="11">
        <v>0</v>
      </c>
      <c r="AYF6" s="11">
        <v>0</v>
      </c>
      <c r="AYG6" s="11">
        <v>0</v>
      </c>
      <c r="AYH6" s="11">
        <v>0</v>
      </c>
      <c r="AYI6" s="11">
        <v>0</v>
      </c>
      <c r="AYJ6" s="11">
        <v>0</v>
      </c>
      <c r="AYK6" s="11">
        <v>0</v>
      </c>
      <c r="AYL6" s="11">
        <v>0</v>
      </c>
      <c r="AYM6" s="11">
        <v>0</v>
      </c>
      <c r="AYN6" s="11">
        <v>0</v>
      </c>
      <c r="AYO6" s="11">
        <v>0</v>
      </c>
      <c r="AYP6" s="11">
        <v>0</v>
      </c>
      <c r="AYQ6" s="11">
        <v>0</v>
      </c>
      <c r="AYR6" s="11">
        <v>0</v>
      </c>
      <c r="AYS6" s="11">
        <v>0</v>
      </c>
      <c r="AYT6" s="11">
        <v>0</v>
      </c>
      <c r="AYU6" s="11">
        <v>0</v>
      </c>
      <c r="AYV6" s="11">
        <v>0</v>
      </c>
      <c r="AYW6" s="11">
        <v>0</v>
      </c>
      <c r="AYX6" s="11">
        <v>0</v>
      </c>
      <c r="AYY6" s="11">
        <v>0</v>
      </c>
      <c r="AYZ6" s="11">
        <v>0</v>
      </c>
      <c r="AZA6" s="11">
        <v>0</v>
      </c>
      <c r="AZB6" s="11">
        <v>0</v>
      </c>
      <c r="AZC6" s="11">
        <v>0</v>
      </c>
      <c r="AZD6" s="11">
        <v>0</v>
      </c>
      <c r="AZE6" s="11">
        <v>0</v>
      </c>
      <c r="AZF6" s="11">
        <v>0</v>
      </c>
      <c r="AZG6" s="11">
        <v>0</v>
      </c>
      <c r="AZH6" s="11">
        <v>0</v>
      </c>
      <c r="AZI6" s="11">
        <v>0</v>
      </c>
      <c r="AZJ6" s="11">
        <v>0</v>
      </c>
      <c r="AZK6" s="11">
        <v>0</v>
      </c>
      <c r="AZL6" s="11">
        <v>0</v>
      </c>
      <c r="AZM6" s="11">
        <v>0</v>
      </c>
      <c r="AZN6" s="11">
        <v>0</v>
      </c>
      <c r="AZO6" s="11">
        <v>0</v>
      </c>
      <c r="AZP6" s="11">
        <v>0</v>
      </c>
      <c r="AZQ6" s="11">
        <v>0</v>
      </c>
      <c r="AZR6" s="11">
        <v>0</v>
      </c>
      <c r="AZS6" s="11">
        <v>0</v>
      </c>
      <c r="AZT6" s="11">
        <v>0</v>
      </c>
      <c r="AZU6" s="11">
        <v>0</v>
      </c>
      <c r="AZV6" s="11">
        <v>0</v>
      </c>
      <c r="AZW6" s="11">
        <v>0</v>
      </c>
      <c r="AZX6" s="11">
        <v>0</v>
      </c>
      <c r="AZY6" s="11">
        <v>0</v>
      </c>
      <c r="AZZ6" s="11">
        <v>0</v>
      </c>
      <c r="BAA6" s="11">
        <v>0</v>
      </c>
      <c r="BAB6" s="11">
        <v>0</v>
      </c>
      <c r="BAC6" s="11">
        <v>0</v>
      </c>
      <c r="BAD6" s="11">
        <v>0</v>
      </c>
      <c r="BAE6" s="11">
        <v>0</v>
      </c>
      <c r="BAF6" s="11">
        <v>0</v>
      </c>
      <c r="BAG6" s="11">
        <v>0</v>
      </c>
      <c r="BAH6" s="11">
        <v>0</v>
      </c>
      <c r="BAI6" s="11">
        <v>0</v>
      </c>
      <c r="BAJ6" s="11">
        <v>0</v>
      </c>
      <c r="BAK6" s="11">
        <v>0</v>
      </c>
      <c r="BAL6" s="11">
        <v>0</v>
      </c>
      <c r="BAM6" s="11">
        <v>0</v>
      </c>
      <c r="BAN6" s="11">
        <v>0</v>
      </c>
      <c r="BAO6" s="11">
        <v>0</v>
      </c>
      <c r="BAP6" s="11">
        <v>0</v>
      </c>
      <c r="BAQ6" s="11">
        <v>0</v>
      </c>
      <c r="BAR6" s="11">
        <v>0</v>
      </c>
      <c r="BAS6" s="11">
        <v>0</v>
      </c>
      <c r="BAT6" s="11">
        <v>0</v>
      </c>
      <c r="BAU6" s="11">
        <v>0</v>
      </c>
      <c r="BAV6" s="11">
        <v>0</v>
      </c>
      <c r="BAW6" s="11">
        <v>0</v>
      </c>
      <c r="BAX6" s="11">
        <v>0</v>
      </c>
      <c r="BAY6" s="11">
        <v>0</v>
      </c>
      <c r="BAZ6" s="11">
        <v>0</v>
      </c>
      <c r="BBA6" s="11">
        <v>0</v>
      </c>
      <c r="BBB6" s="11">
        <v>0</v>
      </c>
      <c r="BBC6" s="11">
        <v>0</v>
      </c>
      <c r="BBD6" s="11">
        <v>0</v>
      </c>
      <c r="BBE6" s="11">
        <v>0</v>
      </c>
      <c r="BBF6" s="11">
        <v>0</v>
      </c>
      <c r="BBG6" s="11">
        <v>0</v>
      </c>
      <c r="BBH6" s="11">
        <v>0</v>
      </c>
      <c r="BBI6" s="11">
        <v>0</v>
      </c>
      <c r="BBJ6" s="11">
        <v>0</v>
      </c>
      <c r="BBK6" s="11">
        <v>0</v>
      </c>
      <c r="BBL6" s="11">
        <v>0</v>
      </c>
      <c r="BBM6" s="11">
        <v>0</v>
      </c>
      <c r="BBN6" s="11">
        <v>0</v>
      </c>
      <c r="BBO6" s="11">
        <v>0</v>
      </c>
      <c r="BBP6" s="11">
        <v>0</v>
      </c>
      <c r="BBQ6" s="11">
        <v>0</v>
      </c>
      <c r="BBR6" s="11">
        <v>0</v>
      </c>
      <c r="BBS6" s="11">
        <v>0</v>
      </c>
      <c r="BBT6" s="11">
        <v>0</v>
      </c>
      <c r="BBU6" s="11">
        <v>0</v>
      </c>
      <c r="BBV6" s="11">
        <v>0</v>
      </c>
      <c r="BBW6" s="11">
        <v>0</v>
      </c>
      <c r="BBX6" s="11">
        <v>0</v>
      </c>
      <c r="BBY6" s="11">
        <v>0</v>
      </c>
      <c r="BBZ6" s="11">
        <v>0</v>
      </c>
      <c r="BCA6" s="11">
        <v>0</v>
      </c>
      <c r="BCB6" s="11">
        <v>0</v>
      </c>
      <c r="BCC6" s="11">
        <v>0</v>
      </c>
      <c r="BCD6" s="11">
        <v>0</v>
      </c>
      <c r="BCE6" s="11">
        <v>0</v>
      </c>
      <c r="BCF6" s="11">
        <v>0</v>
      </c>
      <c r="BCG6" s="11">
        <v>0</v>
      </c>
      <c r="BCH6" s="11">
        <v>0</v>
      </c>
      <c r="BCI6" s="11">
        <v>0</v>
      </c>
      <c r="BCJ6" s="11">
        <v>0</v>
      </c>
      <c r="BCK6" s="11">
        <v>0</v>
      </c>
      <c r="BCL6" s="11">
        <v>0</v>
      </c>
      <c r="BCM6" s="11">
        <v>0</v>
      </c>
      <c r="BCN6" s="11">
        <v>0</v>
      </c>
      <c r="BCO6" s="11">
        <v>0</v>
      </c>
      <c r="BCP6" s="11">
        <v>0</v>
      </c>
      <c r="BCQ6" s="11">
        <v>0</v>
      </c>
      <c r="BCR6" s="11">
        <v>0</v>
      </c>
      <c r="BCS6" s="11">
        <v>0</v>
      </c>
      <c r="BCT6" s="11">
        <v>0</v>
      </c>
      <c r="BCU6" s="11">
        <v>0</v>
      </c>
      <c r="BCV6" s="11">
        <v>0</v>
      </c>
      <c r="BCW6" s="11">
        <v>0</v>
      </c>
      <c r="BCX6" s="11">
        <v>0</v>
      </c>
      <c r="BCY6" s="11">
        <v>0</v>
      </c>
      <c r="BCZ6" s="11">
        <v>0</v>
      </c>
      <c r="BDA6" s="11">
        <v>0</v>
      </c>
      <c r="BDB6" s="11">
        <v>0</v>
      </c>
      <c r="BDC6" s="11">
        <v>0</v>
      </c>
      <c r="BDD6" s="11">
        <v>0</v>
      </c>
      <c r="BDE6" s="11">
        <v>0</v>
      </c>
      <c r="BDF6" s="11">
        <v>0</v>
      </c>
      <c r="BDG6" s="11">
        <v>0</v>
      </c>
      <c r="BDH6" s="11">
        <v>0</v>
      </c>
      <c r="BDI6" s="11">
        <v>0</v>
      </c>
      <c r="BDJ6" s="11">
        <v>0</v>
      </c>
      <c r="BDK6" s="11">
        <v>0</v>
      </c>
      <c r="BDL6" s="11">
        <v>0</v>
      </c>
      <c r="BDM6" s="11">
        <v>0</v>
      </c>
      <c r="BDN6" s="11">
        <v>0</v>
      </c>
      <c r="BDO6" s="11">
        <v>0</v>
      </c>
      <c r="BDP6" s="11">
        <v>0</v>
      </c>
      <c r="BDQ6" s="11">
        <v>0</v>
      </c>
      <c r="BDR6" s="11">
        <v>0</v>
      </c>
      <c r="BDS6" s="11">
        <v>0</v>
      </c>
      <c r="BDT6" s="11">
        <v>0</v>
      </c>
      <c r="BDU6" s="11">
        <v>0</v>
      </c>
      <c r="BDV6" s="11">
        <v>0</v>
      </c>
      <c r="BDW6" s="11">
        <v>0</v>
      </c>
      <c r="BDX6" s="11">
        <v>0</v>
      </c>
      <c r="BDY6" s="11">
        <v>0</v>
      </c>
      <c r="BDZ6" s="11">
        <v>0</v>
      </c>
      <c r="BEA6" s="11">
        <v>0</v>
      </c>
      <c r="BEB6" s="11">
        <v>0</v>
      </c>
      <c r="BEC6" s="11">
        <v>0</v>
      </c>
      <c r="BED6" s="11">
        <v>0</v>
      </c>
      <c r="BEE6" s="11">
        <v>0</v>
      </c>
      <c r="BEF6" s="11">
        <v>0</v>
      </c>
      <c r="BEG6" s="11">
        <v>0</v>
      </c>
      <c r="BEH6" s="11">
        <v>0</v>
      </c>
      <c r="BEI6" s="11">
        <v>0</v>
      </c>
      <c r="BEJ6" s="11">
        <v>0</v>
      </c>
      <c r="BEK6" s="11">
        <v>0</v>
      </c>
      <c r="BEL6" s="11">
        <v>0</v>
      </c>
      <c r="BEM6" s="11">
        <v>0</v>
      </c>
      <c r="BEN6" s="11">
        <v>0</v>
      </c>
      <c r="BEO6" s="11">
        <v>0</v>
      </c>
      <c r="BEP6" s="11">
        <v>0</v>
      </c>
      <c r="BEQ6" s="11">
        <v>0</v>
      </c>
      <c r="BER6" s="11">
        <v>0</v>
      </c>
      <c r="BES6" s="11">
        <v>0</v>
      </c>
      <c r="BET6" s="11">
        <v>0</v>
      </c>
      <c r="BEU6" s="11">
        <v>0</v>
      </c>
      <c r="BEV6" s="11">
        <v>0</v>
      </c>
      <c r="BEW6" s="11">
        <v>0</v>
      </c>
      <c r="BEX6" s="11">
        <v>0</v>
      </c>
      <c r="BEY6" s="11">
        <v>0</v>
      </c>
      <c r="BEZ6" s="11">
        <v>0</v>
      </c>
      <c r="BFA6" s="11">
        <v>0</v>
      </c>
      <c r="BFB6" s="11">
        <v>0</v>
      </c>
      <c r="BFC6" s="11">
        <v>0</v>
      </c>
      <c r="BFD6" s="11">
        <v>0</v>
      </c>
      <c r="BFE6" s="11">
        <v>0</v>
      </c>
      <c r="BFF6" s="11">
        <v>0</v>
      </c>
      <c r="BFG6" s="11">
        <v>0</v>
      </c>
      <c r="BFH6" s="11">
        <v>0</v>
      </c>
      <c r="BFI6" s="11">
        <v>0</v>
      </c>
      <c r="BFJ6" s="11">
        <v>0</v>
      </c>
      <c r="BFK6" s="11">
        <v>0</v>
      </c>
      <c r="BFL6" s="11">
        <v>0</v>
      </c>
      <c r="BFM6" s="11">
        <v>0</v>
      </c>
      <c r="BFN6" s="11">
        <v>0</v>
      </c>
      <c r="BFO6" s="11">
        <v>0</v>
      </c>
      <c r="BFP6" s="11">
        <v>0</v>
      </c>
      <c r="BFQ6" s="11">
        <v>0</v>
      </c>
      <c r="BFR6" s="11">
        <v>0</v>
      </c>
      <c r="BFS6" s="11">
        <v>0</v>
      </c>
      <c r="BFT6" s="11">
        <v>0</v>
      </c>
      <c r="BFU6" s="11">
        <v>0</v>
      </c>
      <c r="BFV6" s="11">
        <v>0</v>
      </c>
      <c r="BFW6" s="11">
        <v>0</v>
      </c>
      <c r="BFX6" s="11">
        <v>0</v>
      </c>
      <c r="BFY6" s="11">
        <v>0</v>
      </c>
      <c r="BFZ6" s="11">
        <v>0</v>
      </c>
      <c r="BGA6" s="11">
        <v>0</v>
      </c>
      <c r="BGB6" s="11">
        <v>0</v>
      </c>
      <c r="BGC6" s="11">
        <v>0</v>
      </c>
      <c r="BGD6" s="11">
        <v>0</v>
      </c>
      <c r="BGE6" s="11">
        <v>0</v>
      </c>
      <c r="BGF6" s="11">
        <v>0</v>
      </c>
      <c r="BGG6" s="11">
        <v>0</v>
      </c>
      <c r="BGH6" s="11">
        <v>0</v>
      </c>
      <c r="BGI6" s="11">
        <v>0</v>
      </c>
      <c r="BGJ6" s="11">
        <v>0</v>
      </c>
      <c r="BGK6" s="11">
        <v>0</v>
      </c>
      <c r="BGL6" s="11">
        <v>0</v>
      </c>
      <c r="BGM6" s="11">
        <v>0</v>
      </c>
      <c r="BGN6" s="11">
        <v>0</v>
      </c>
      <c r="BGO6" s="11">
        <v>0</v>
      </c>
      <c r="BGP6" s="11">
        <v>0</v>
      </c>
      <c r="BGQ6" s="11">
        <v>0</v>
      </c>
      <c r="BGR6" s="11">
        <v>0</v>
      </c>
      <c r="BGS6" s="11">
        <v>0</v>
      </c>
      <c r="BGT6" s="11">
        <v>0</v>
      </c>
      <c r="BGU6" s="11">
        <v>0</v>
      </c>
      <c r="BGV6" s="11">
        <v>0</v>
      </c>
      <c r="BGW6" s="11">
        <v>0</v>
      </c>
      <c r="BGX6" s="11">
        <v>0</v>
      </c>
      <c r="BGY6" s="11">
        <v>0</v>
      </c>
      <c r="BGZ6" s="11">
        <v>0</v>
      </c>
      <c r="BHA6" s="11">
        <v>0</v>
      </c>
      <c r="BHB6" s="11">
        <v>0</v>
      </c>
      <c r="BHC6" s="11">
        <v>0</v>
      </c>
      <c r="BHD6" s="11">
        <v>0</v>
      </c>
      <c r="BHE6" s="11">
        <v>0</v>
      </c>
      <c r="BHF6" s="11">
        <v>0</v>
      </c>
      <c r="BHG6" s="11">
        <v>0</v>
      </c>
      <c r="BHH6" s="11">
        <v>0</v>
      </c>
      <c r="BHI6" s="11">
        <v>0</v>
      </c>
      <c r="BHJ6" s="11">
        <v>0</v>
      </c>
      <c r="BHK6" s="11">
        <v>0</v>
      </c>
      <c r="BHL6" s="11">
        <v>0</v>
      </c>
      <c r="BHM6" s="11">
        <v>0</v>
      </c>
      <c r="BHN6" s="11">
        <v>0</v>
      </c>
      <c r="BHO6" s="11">
        <v>0</v>
      </c>
      <c r="BHP6" s="11">
        <v>0</v>
      </c>
      <c r="BHQ6" s="11">
        <v>0</v>
      </c>
      <c r="BHR6" s="11">
        <v>0</v>
      </c>
      <c r="BHS6" s="11">
        <v>0</v>
      </c>
      <c r="BHT6" s="11">
        <v>0</v>
      </c>
      <c r="BHU6" s="11">
        <v>0</v>
      </c>
      <c r="BHV6" s="11">
        <v>0</v>
      </c>
      <c r="BHW6" s="11">
        <v>0</v>
      </c>
      <c r="BHX6" s="11">
        <v>0</v>
      </c>
      <c r="BHY6" s="11">
        <v>0</v>
      </c>
      <c r="BHZ6" s="11">
        <v>0</v>
      </c>
      <c r="BIA6" s="11">
        <v>0</v>
      </c>
      <c r="BIB6" s="11">
        <v>0</v>
      </c>
      <c r="BIC6" s="11">
        <v>0</v>
      </c>
      <c r="BID6" s="11">
        <v>0</v>
      </c>
      <c r="BIE6" s="11">
        <v>0</v>
      </c>
      <c r="BIF6" s="11">
        <v>0</v>
      </c>
      <c r="BIG6" s="11">
        <v>0</v>
      </c>
      <c r="BIH6" s="11">
        <v>0</v>
      </c>
      <c r="BII6" s="11">
        <v>0</v>
      </c>
      <c r="BIJ6" s="11">
        <v>0</v>
      </c>
      <c r="BIK6" s="11">
        <v>0</v>
      </c>
      <c r="BIL6" s="11">
        <v>0</v>
      </c>
      <c r="BIM6" s="11">
        <v>0</v>
      </c>
      <c r="BIN6" s="11">
        <v>0</v>
      </c>
      <c r="BIO6" s="11">
        <v>0</v>
      </c>
      <c r="BIP6" s="11">
        <v>0</v>
      </c>
      <c r="BIQ6" s="11">
        <v>0</v>
      </c>
      <c r="BIR6" s="11">
        <v>0</v>
      </c>
      <c r="BIS6" s="11">
        <v>0</v>
      </c>
      <c r="BIT6" s="11">
        <v>0</v>
      </c>
      <c r="BIU6" s="11">
        <v>0</v>
      </c>
      <c r="BIV6" s="11">
        <v>0</v>
      </c>
      <c r="BIW6" s="11">
        <v>0</v>
      </c>
      <c r="BIX6" s="11">
        <v>0</v>
      </c>
      <c r="BIY6" s="11">
        <v>0</v>
      </c>
      <c r="BIZ6" s="11">
        <v>0</v>
      </c>
      <c r="BJA6" s="11">
        <v>0</v>
      </c>
      <c r="BJB6" s="11">
        <v>0</v>
      </c>
      <c r="BJC6" s="11">
        <v>0</v>
      </c>
      <c r="BJD6" s="11">
        <v>0</v>
      </c>
      <c r="BJE6" s="11">
        <v>0</v>
      </c>
      <c r="BJF6" s="11">
        <v>0</v>
      </c>
      <c r="BJG6" s="11">
        <v>0</v>
      </c>
      <c r="BJH6" s="11">
        <v>0</v>
      </c>
      <c r="BJI6" s="11">
        <v>0</v>
      </c>
      <c r="BJJ6" s="11">
        <v>0</v>
      </c>
      <c r="BJK6" s="11">
        <v>0</v>
      </c>
      <c r="BJL6" s="11">
        <v>0</v>
      </c>
      <c r="BJM6" s="11">
        <v>0</v>
      </c>
      <c r="BJN6" s="11">
        <v>0</v>
      </c>
      <c r="BJO6" s="11">
        <v>0</v>
      </c>
      <c r="BJP6" s="11">
        <v>0</v>
      </c>
      <c r="BJQ6" s="11">
        <v>0</v>
      </c>
      <c r="BJR6" s="11">
        <v>0</v>
      </c>
      <c r="BJS6" s="11">
        <v>0</v>
      </c>
      <c r="BJT6" s="11">
        <v>0</v>
      </c>
      <c r="BJU6" s="11">
        <v>0</v>
      </c>
      <c r="BJV6" s="11">
        <v>0</v>
      </c>
      <c r="BJW6" s="11">
        <v>0</v>
      </c>
      <c r="BJX6" s="11">
        <v>0</v>
      </c>
      <c r="BJY6" s="11">
        <v>0</v>
      </c>
      <c r="BJZ6" s="11">
        <v>0</v>
      </c>
      <c r="BKA6" s="11">
        <v>0</v>
      </c>
      <c r="BKB6" s="11">
        <v>0</v>
      </c>
      <c r="BKC6" s="11">
        <v>0</v>
      </c>
      <c r="BKD6" s="11">
        <v>0</v>
      </c>
      <c r="BKE6" s="11">
        <v>0</v>
      </c>
      <c r="BKF6" s="11">
        <v>0</v>
      </c>
      <c r="BKG6" s="11">
        <v>0</v>
      </c>
      <c r="BKH6" s="11">
        <v>0</v>
      </c>
      <c r="BKI6" s="11">
        <v>0</v>
      </c>
      <c r="BKJ6" s="11">
        <v>0</v>
      </c>
      <c r="BKK6" s="11">
        <v>0</v>
      </c>
      <c r="BKL6" s="11">
        <v>0</v>
      </c>
      <c r="BKM6" s="11">
        <v>0</v>
      </c>
      <c r="BKN6" s="11">
        <v>0</v>
      </c>
      <c r="BKO6" s="11">
        <v>0</v>
      </c>
      <c r="BKP6" s="11">
        <v>0</v>
      </c>
      <c r="BKQ6" s="11">
        <v>0</v>
      </c>
      <c r="BKR6" s="11">
        <v>0</v>
      </c>
      <c r="BKS6" s="11">
        <v>0</v>
      </c>
      <c r="BKT6" s="11">
        <v>0</v>
      </c>
      <c r="BKU6" s="11">
        <v>0</v>
      </c>
      <c r="BKV6" s="11">
        <v>0</v>
      </c>
      <c r="BKW6" s="11">
        <v>0</v>
      </c>
      <c r="BKX6" s="11">
        <v>0</v>
      </c>
      <c r="BKY6" s="11">
        <v>0</v>
      </c>
      <c r="BKZ6" s="11">
        <v>0</v>
      </c>
      <c r="BLA6" s="11">
        <v>0</v>
      </c>
      <c r="BLB6" s="11">
        <v>0</v>
      </c>
      <c r="BLC6" s="11">
        <v>0</v>
      </c>
      <c r="BLD6" s="11">
        <v>0</v>
      </c>
      <c r="BLE6" s="11">
        <v>0</v>
      </c>
      <c r="BLF6" s="11">
        <v>0</v>
      </c>
      <c r="BLG6" s="11">
        <v>0</v>
      </c>
      <c r="BLH6" s="11">
        <v>0</v>
      </c>
      <c r="BLI6" s="11">
        <v>0</v>
      </c>
      <c r="BLJ6" s="11">
        <v>0</v>
      </c>
      <c r="BLK6" s="11">
        <v>0</v>
      </c>
      <c r="BLL6" s="11">
        <v>0</v>
      </c>
      <c r="BLM6" s="11">
        <v>0</v>
      </c>
      <c r="BLN6" s="11">
        <v>0</v>
      </c>
      <c r="BLO6" s="11">
        <v>0</v>
      </c>
      <c r="BLP6" s="11">
        <v>0</v>
      </c>
      <c r="BLQ6" s="11">
        <v>0</v>
      </c>
      <c r="BLR6" s="11">
        <v>0</v>
      </c>
      <c r="BLS6" s="11">
        <v>0</v>
      </c>
      <c r="BLT6" s="11">
        <v>0</v>
      </c>
      <c r="BLU6" s="11">
        <v>0</v>
      </c>
      <c r="BLV6" s="11">
        <v>0</v>
      </c>
      <c r="BLW6" s="11">
        <v>0</v>
      </c>
      <c r="BLX6" s="11">
        <v>0</v>
      </c>
      <c r="BLY6" s="11">
        <v>0</v>
      </c>
      <c r="BLZ6" s="11">
        <v>0</v>
      </c>
      <c r="BMA6" s="11">
        <v>0</v>
      </c>
      <c r="BMB6" s="11">
        <v>0</v>
      </c>
      <c r="BMC6" s="11">
        <v>0</v>
      </c>
      <c r="BMD6" s="11">
        <v>0</v>
      </c>
      <c r="BME6" s="11">
        <v>0</v>
      </c>
      <c r="BMF6" s="11">
        <v>0</v>
      </c>
      <c r="BMG6" s="11">
        <v>0</v>
      </c>
      <c r="BMH6" s="11">
        <v>0</v>
      </c>
      <c r="BMI6" s="11">
        <v>0</v>
      </c>
      <c r="BMJ6" s="11">
        <v>0</v>
      </c>
      <c r="BMK6" s="11">
        <v>0</v>
      </c>
      <c r="BML6" s="11">
        <v>0</v>
      </c>
      <c r="BMM6" s="11">
        <v>0</v>
      </c>
      <c r="BMN6" s="11">
        <v>0</v>
      </c>
      <c r="BMO6" s="11">
        <v>0</v>
      </c>
      <c r="BMP6" s="11">
        <v>0</v>
      </c>
      <c r="BMQ6" s="11">
        <v>0</v>
      </c>
      <c r="BMR6" s="11">
        <v>0</v>
      </c>
      <c r="BMS6" s="11">
        <v>0</v>
      </c>
      <c r="BMT6" s="11">
        <v>0</v>
      </c>
      <c r="BMU6" s="11">
        <v>0</v>
      </c>
      <c r="BMV6" s="11">
        <v>0</v>
      </c>
      <c r="BMW6" s="11">
        <v>0</v>
      </c>
      <c r="BMX6" s="11">
        <v>0</v>
      </c>
      <c r="BMY6" s="11">
        <v>0</v>
      </c>
      <c r="BMZ6" s="11">
        <v>0</v>
      </c>
      <c r="BNA6" s="11">
        <v>0</v>
      </c>
      <c r="BNB6" s="11">
        <v>0</v>
      </c>
      <c r="BNC6" s="11">
        <v>0</v>
      </c>
      <c r="BND6" s="11">
        <v>0</v>
      </c>
      <c r="BNE6" s="11">
        <v>0</v>
      </c>
      <c r="BNF6" s="11">
        <v>0</v>
      </c>
      <c r="BNG6" s="11">
        <v>0</v>
      </c>
      <c r="BNH6" s="11">
        <v>0</v>
      </c>
      <c r="BNI6" s="11">
        <v>0</v>
      </c>
      <c r="BNJ6" s="11">
        <v>0</v>
      </c>
      <c r="BNK6" s="11">
        <v>0</v>
      </c>
      <c r="BNL6" s="11">
        <v>0</v>
      </c>
      <c r="BNM6" s="11">
        <v>0</v>
      </c>
      <c r="BNN6" s="11">
        <v>0</v>
      </c>
      <c r="BNO6" s="11">
        <v>0</v>
      </c>
      <c r="BNP6" s="11">
        <v>0</v>
      </c>
      <c r="BNQ6" s="11">
        <v>0</v>
      </c>
      <c r="BNR6" s="11">
        <v>0</v>
      </c>
      <c r="BNS6" s="11">
        <v>0</v>
      </c>
      <c r="BNT6" s="11">
        <v>0</v>
      </c>
      <c r="BNU6" s="11">
        <v>0</v>
      </c>
      <c r="BNV6" s="11">
        <v>0</v>
      </c>
      <c r="BNW6" s="11">
        <v>0</v>
      </c>
      <c r="BNX6" s="11">
        <v>0</v>
      </c>
      <c r="BNY6" s="11">
        <v>0</v>
      </c>
      <c r="BNZ6" s="11">
        <v>0</v>
      </c>
      <c r="BOA6" s="11">
        <v>0</v>
      </c>
      <c r="BOB6" s="11">
        <v>0</v>
      </c>
      <c r="BOC6" s="11">
        <v>0</v>
      </c>
      <c r="BOD6" s="11">
        <v>0</v>
      </c>
      <c r="BOE6" s="11">
        <v>0</v>
      </c>
      <c r="BOF6" s="11">
        <v>0</v>
      </c>
      <c r="BOG6" s="11">
        <v>0</v>
      </c>
      <c r="BOH6" s="11">
        <v>0</v>
      </c>
      <c r="BOI6" s="11">
        <v>0</v>
      </c>
      <c r="BOJ6" s="11">
        <v>0</v>
      </c>
      <c r="BOK6" s="11">
        <v>0</v>
      </c>
      <c r="BOL6" s="11">
        <v>0</v>
      </c>
      <c r="BOM6" s="11">
        <v>0</v>
      </c>
      <c r="BON6" s="11">
        <v>0</v>
      </c>
      <c r="BOO6" s="11">
        <v>0</v>
      </c>
      <c r="BOP6" s="11">
        <v>0</v>
      </c>
      <c r="BOQ6" s="11">
        <v>0</v>
      </c>
      <c r="BOR6" s="11">
        <v>0</v>
      </c>
      <c r="BOS6" s="11">
        <v>0</v>
      </c>
      <c r="BOT6" s="11">
        <v>0</v>
      </c>
      <c r="BOU6" s="11">
        <v>0</v>
      </c>
      <c r="BOV6" s="11">
        <v>0</v>
      </c>
      <c r="BOW6" s="11">
        <v>0</v>
      </c>
      <c r="BOX6" s="11">
        <v>0</v>
      </c>
      <c r="BOY6" s="11">
        <v>0</v>
      </c>
      <c r="BOZ6" s="11">
        <v>0</v>
      </c>
      <c r="BPA6" s="11">
        <v>0</v>
      </c>
      <c r="BPB6" s="11">
        <v>0</v>
      </c>
      <c r="BPC6" s="11">
        <v>0</v>
      </c>
      <c r="BPD6" s="11">
        <v>0</v>
      </c>
      <c r="BPE6" s="11">
        <v>0</v>
      </c>
      <c r="BPF6" s="11">
        <v>0</v>
      </c>
      <c r="BPG6" s="11">
        <v>0</v>
      </c>
      <c r="BPH6" s="11">
        <v>0</v>
      </c>
      <c r="BPI6" s="11">
        <v>0</v>
      </c>
      <c r="BPJ6" s="11">
        <v>0</v>
      </c>
      <c r="BPK6" s="11">
        <v>0</v>
      </c>
      <c r="BPL6" s="11">
        <v>0</v>
      </c>
      <c r="BPM6" s="11">
        <v>0</v>
      </c>
      <c r="BPN6" s="11">
        <v>0</v>
      </c>
      <c r="BPO6" s="11">
        <v>0</v>
      </c>
      <c r="BPP6" s="11">
        <v>0</v>
      </c>
      <c r="BPQ6" s="11">
        <v>0</v>
      </c>
      <c r="BPR6" s="11">
        <v>0</v>
      </c>
      <c r="BPS6" s="11">
        <v>0</v>
      </c>
      <c r="BPT6" s="11">
        <v>0</v>
      </c>
      <c r="BPU6" s="11">
        <v>0</v>
      </c>
      <c r="BPV6" s="11">
        <v>0</v>
      </c>
      <c r="BPW6" s="11">
        <v>0</v>
      </c>
      <c r="BPX6" s="11">
        <v>0</v>
      </c>
      <c r="BPY6" s="11">
        <v>0</v>
      </c>
      <c r="BPZ6" s="11">
        <v>0</v>
      </c>
      <c r="BQA6" s="11">
        <v>0</v>
      </c>
      <c r="BQB6" s="11">
        <v>0</v>
      </c>
      <c r="BQC6" s="11">
        <v>0</v>
      </c>
      <c r="BQD6" s="11">
        <v>0</v>
      </c>
      <c r="BQE6" s="11">
        <v>0</v>
      </c>
      <c r="BQF6" s="11">
        <v>0</v>
      </c>
      <c r="BQG6" s="11">
        <v>0</v>
      </c>
      <c r="BQH6" s="11">
        <v>0</v>
      </c>
      <c r="BQI6" s="11">
        <v>0</v>
      </c>
      <c r="BQJ6" s="11">
        <v>0</v>
      </c>
      <c r="BQK6" s="11">
        <v>0</v>
      </c>
      <c r="BQL6" s="11">
        <v>0</v>
      </c>
      <c r="BQM6" s="11">
        <v>0</v>
      </c>
      <c r="BQN6" s="11">
        <v>0</v>
      </c>
      <c r="BQO6" s="11">
        <v>0</v>
      </c>
      <c r="BQP6" s="11">
        <v>0</v>
      </c>
      <c r="BQQ6" s="11">
        <v>0</v>
      </c>
      <c r="BQR6" s="11">
        <v>0</v>
      </c>
      <c r="BQS6" s="11">
        <v>0</v>
      </c>
      <c r="BQT6" s="11">
        <v>0</v>
      </c>
      <c r="BQU6" s="11">
        <v>0</v>
      </c>
      <c r="BQV6" s="11">
        <v>0</v>
      </c>
      <c r="BQW6" s="11">
        <v>0</v>
      </c>
      <c r="BQX6" s="11">
        <v>0</v>
      </c>
      <c r="BQY6" s="11">
        <v>0</v>
      </c>
      <c r="BQZ6" s="11">
        <v>0</v>
      </c>
      <c r="BRA6" s="11">
        <v>0</v>
      </c>
      <c r="BRB6" s="11">
        <v>0</v>
      </c>
      <c r="BRC6" s="11">
        <v>0</v>
      </c>
      <c r="BRD6" s="11">
        <v>0</v>
      </c>
      <c r="BRE6" s="11">
        <v>0</v>
      </c>
      <c r="BRF6" s="11">
        <v>0</v>
      </c>
      <c r="BRG6" s="11">
        <v>0</v>
      </c>
      <c r="BRH6" s="11">
        <v>0</v>
      </c>
      <c r="BRI6" s="11">
        <v>0</v>
      </c>
      <c r="BRJ6" s="11">
        <v>0</v>
      </c>
      <c r="BRK6" s="11">
        <v>0</v>
      </c>
      <c r="BRL6" s="11">
        <v>0</v>
      </c>
      <c r="BRM6" s="11">
        <v>0</v>
      </c>
      <c r="BRN6" s="11">
        <v>0</v>
      </c>
      <c r="BRO6" s="11">
        <v>0</v>
      </c>
      <c r="BRP6" s="11">
        <v>0</v>
      </c>
      <c r="BRQ6" s="11">
        <v>0</v>
      </c>
      <c r="BRR6" s="11">
        <v>0</v>
      </c>
      <c r="BRS6" s="11">
        <v>0</v>
      </c>
      <c r="BRT6" s="11">
        <v>0</v>
      </c>
      <c r="BRU6" s="11">
        <v>0</v>
      </c>
      <c r="BRV6" s="11">
        <v>0</v>
      </c>
      <c r="BRW6" s="11">
        <v>0</v>
      </c>
      <c r="BRX6" s="11">
        <v>0</v>
      </c>
      <c r="BRY6" s="11">
        <v>0</v>
      </c>
      <c r="BRZ6" s="11">
        <v>0</v>
      </c>
      <c r="BSA6" s="11">
        <v>0</v>
      </c>
      <c r="BSB6" s="11">
        <v>0</v>
      </c>
      <c r="BSC6" s="11">
        <v>0</v>
      </c>
      <c r="BSD6" s="11">
        <v>0</v>
      </c>
      <c r="BSE6" s="11">
        <v>0</v>
      </c>
      <c r="BSF6" s="11">
        <v>0</v>
      </c>
      <c r="BSG6" s="11">
        <v>0</v>
      </c>
      <c r="BSH6" s="11">
        <v>0</v>
      </c>
      <c r="BSI6" s="11">
        <v>0</v>
      </c>
      <c r="BSJ6" s="11">
        <v>0</v>
      </c>
      <c r="BSK6" s="11">
        <v>0</v>
      </c>
      <c r="BSL6" s="11">
        <v>0</v>
      </c>
      <c r="BSM6" s="11">
        <v>0</v>
      </c>
      <c r="BSN6" s="11">
        <v>0</v>
      </c>
      <c r="BSO6" s="11">
        <v>0</v>
      </c>
      <c r="BSP6" s="11">
        <v>0</v>
      </c>
      <c r="BSQ6" s="11">
        <v>0</v>
      </c>
      <c r="BSR6" s="11">
        <v>0</v>
      </c>
      <c r="BSS6" s="11">
        <v>0</v>
      </c>
      <c r="BST6" s="11">
        <v>0</v>
      </c>
      <c r="BSU6" s="11">
        <v>0</v>
      </c>
      <c r="BSV6" s="11">
        <v>0</v>
      </c>
      <c r="BSW6" s="11">
        <v>0</v>
      </c>
      <c r="BSX6" s="11">
        <v>0</v>
      </c>
      <c r="BSY6" s="11">
        <v>0</v>
      </c>
      <c r="BSZ6" s="11">
        <v>0</v>
      </c>
      <c r="BTA6" s="11">
        <v>0</v>
      </c>
      <c r="BTB6" s="11">
        <v>0</v>
      </c>
      <c r="BTC6" s="11">
        <v>0</v>
      </c>
      <c r="BTD6" s="11">
        <v>0</v>
      </c>
      <c r="BTE6" s="11">
        <v>0</v>
      </c>
      <c r="BTF6" s="11">
        <v>0</v>
      </c>
      <c r="BTG6" s="11">
        <v>0</v>
      </c>
      <c r="BTH6" s="11">
        <v>0</v>
      </c>
      <c r="BTI6" s="11">
        <v>0</v>
      </c>
      <c r="BTJ6" s="11">
        <v>0</v>
      </c>
      <c r="BTK6" s="11">
        <v>0</v>
      </c>
      <c r="BTL6" s="11">
        <v>0</v>
      </c>
      <c r="BTM6" s="11">
        <v>0</v>
      </c>
      <c r="BTN6" s="11">
        <v>0</v>
      </c>
      <c r="BTO6" s="11">
        <v>0</v>
      </c>
      <c r="BTP6" s="11">
        <v>0</v>
      </c>
      <c r="BTQ6" s="11">
        <v>0</v>
      </c>
      <c r="BTR6" s="11">
        <v>0</v>
      </c>
      <c r="BTS6" s="11">
        <v>0</v>
      </c>
      <c r="BTT6" s="11">
        <v>0</v>
      </c>
      <c r="BTU6" s="11">
        <v>0</v>
      </c>
      <c r="BTV6" s="11">
        <v>0</v>
      </c>
      <c r="BTW6" s="11">
        <v>0</v>
      </c>
      <c r="BTX6" s="11">
        <v>0</v>
      </c>
      <c r="BTY6" s="11">
        <v>0</v>
      </c>
      <c r="BTZ6" s="11">
        <v>0</v>
      </c>
      <c r="BUA6" s="11">
        <v>0</v>
      </c>
      <c r="BUB6" s="11">
        <v>0</v>
      </c>
      <c r="BUC6" s="11">
        <v>0</v>
      </c>
      <c r="BUD6" s="11">
        <v>0</v>
      </c>
      <c r="BUE6" s="11">
        <v>0</v>
      </c>
      <c r="BUF6" s="11">
        <v>0</v>
      </c>
      <c r="BUG6" s="11">
        <v>0</v>
      </c>
      <c r="BUH6" s="11">
        <v>0</v>
      </c>
      <c r="BUI6" s="11">
        <v>0</v>
      </c>
      <c r="BUJ6" s="11">
        <v>0</v>
      </c>
      <c r="BUK6" s="11">
        <v>0</v>
      </c>
      <c r="BUL6" s="11">
        <v>0</v>
      </c>
      <c r="BUM6" s="11">
        <v>0</v>
      </c>
      <c r="BUN6" s="11">
        <v>0</v>
      </c>
      <c r="BUO6" s="11">
        <v>0</v>
      </c>
      <c r="BUP6" s="11">
        <v>0</v>
      </c>
      <c r="BUQ6" s="11">
        <v>0</v>
      </c>
      <c r="BUR6" s="11">
        <v>0</v>
      </c>
      <c r="BUS6" s="11">
        <v>0</v>
      </c>
      <c r="BUT6" s="11">
        <v>0</v>
      </c>
      <c r="BUU6" s="11">
        <v>0</v>
      </c>
      <c r="BUV6" s="11">
        <v>0</v>
      </c>
      <c r="BUW6" s="11">
        <v>0</v>
      </c>
      <c r="BUX6" s="11">
        <v>0</v>
      </c>
      <c r="BUY6" s="11">
        <v>0</v>
      </c>
      <c r="BUZ6" s="11">
        <v>0</v>
      </c>
      <c r="BVA6" s="11">
        <v>0</v>
      </c>
      <c r="BVB6" s="11">
        <v>0</v>
      </c>
      <c r="BVC6" s="11">
        <v>0</v>
      </c>
      <c r="BVD6" s="11">
        <v>0</v>
      </c>
      <c r="BVE6" s="11">
        <v>0</v>
      </c>
      <c r="BVF6" s="11">
        <v>0</v>
      </c>
      <c r="BVG6" s="11">
        <v>0</v>
      </c>
      <c r="BVH6" s="11">
        <v>0</v>
      </c>
      <c r="BVI6" s="11">
        <v>0</v>
      </c>
      <c r="BVJ6" s="11">
        <v>0</v>
      </c>
      <c r="BVK6" s="11">
        <v>0</v>
      </c>
      <c r="BVL6" s="11">
        <v>0</v>
      </c>
      <c r="BVM6" s="11">
        <v>0</v>
      </c>
      <c r="BVN6" s="11">
        <v>0</v>
      </c>
      <c r="BVO6" s="11">
        <v>0</v>
      </c>
      <c r="BVP6" s="11">
        <v>0</v>
      </c>
      <c r="BVQ6" s="11">
        <v>0</v>
      </c>
      <c r="BVR6" s="11">
        <v>0</v>
      </c>
      <c r="BVS6" s="11">
        <v>0</v>
      </c>
      <c r="BVT6" s="11">
        <v>0</v>
      </c>
      <c r="BVU6" s="11">
        <v>0</v>
      </c>
      <c r="BVV6" s="11">
        <v>0</v>
      </c>
      <c r="BVW6" s="11">
        <v>0</v>
      </c>
      <c r="BVX6" s="11">
        <v>0</v>
      </c>
      <c r="BVY6" s="11">
        <v>0</v>
      </c>
      <c r="BVZ6" s="11">
        <v>0</v>
      </c>
      <c r="BWA6" s="11">
        <v>0</v>
      </c>
      <c r="BWB6" s="11">
        <v>0</v>
      </c>
      <c r="BWC6" s="11">
        <v>0</v>
      </c>
      <c r="BWD6" s="11">
        <v>0</v>
      </c>
      <c r="BWE6" s="11">
        <v>0</v>
      </c>
      <c r="BWF6" s="11">
        <v>0</v>
      </c>
      <c r="BWG6" s="11">
        <v>0</v>
      </c>
      <c r="BWH6" s="11">
        <v>0</v>
      </c>
      <c r="BWI6" s="11">
        <v>0</v>
      </c>
      <c r="BWJ6" s="11">
        <v>0</v>
      </c>
      <c r="BWK6" s="11">
        <v>0</v>
      </c>
      <c r="BWL6" s="11">
        <v>0</v>
      </c>
      <c r="BWM6" s="11">
        <v>0</v>
      </c>
      <c r="BWN6" s="11">
        <v>0</v>
      </c>
      <c r="BWO6" s="11">
        <v>0</v>
      </c>
      <c r="BWP6" s="11">
        <v>0</v>
      </c>
      <c r="BWQ6" s="11">
        <v>0</v>
      </c>
      <c r="BWR6" s="11">
        <v>0</v>
      </c>
      <c r="BWS6" s="11">
        <v>0</v>
      </c>
      <c r="BWT6" s="11">
        <v>0</v>
      </c>
      <c r="BWU6" s="11">
        <v>0</v>
      </c>
      <c r="BWV6" s="11">
        <v>0</v>
      </c>
      <c r="BWW6" s="11">
        <v>0</v>
      </c>
      <c r="BWX6" s="11">
        <v>0</v>
      </c>
      <c r="BWY6" s="11">
        <v>0</v>
      </c>
      <c r="BWZ6" s="11">
        <v>0</v>
      </c>
      <c r="BXA6" s="11">
        <v>0</v>
      </c>
      <c r="BXB6" s="11">
        <v>0</v>
      </c>
      <c r="BXC6" s="11">
        <v>0</v>
      </c>
      <c r="BXD6" s="11">
        <v>0</v>
      </c>
      <c r="BXE6" s="11">
        <v>0</v>
      </c>
      <c r="BXF6" s="11">
        <v>0</v>
      </c>
      <c r="BXG6" s="11">
        <v>0</v>
      </c>
      <c r="BXH6" s="11">
        <v>0</v>
      </c>
      <c r="BXI6" s="11">
        <v>0</v>
      </c>
      <c r="BXJ6" s="11">
        <v>0</v>
      </c>
      <c r="BXK6" s="11">
        <v>0</v>
      </c>
      <c r="BXL6" s="11">
        <v>0</v>
      </c>
      <c r="BXM6" s="11">
        <v>0</v>
      </c>
      <c r="BXN6" s="11">
        <v>0</v>
      </c>
      <c r="BXO6" s="11">
        <v>0</v>
      </c>
      <c r="BXP6" s="11">
        <v>0</v>
      </c>
      <c r="BXQ6" s="11">
        <v>0</v>
      </c>
      <c r="BXR6" s="11">
        <v>0</v>
      </c>
      <c r="BXS6" s="11">
        <v>0</v>
      </c>
      <c r="BXT6" s="11">
        <v>0</v>
      </c>
      <c r="BXU6" s="11">
        <v>0</v>
      </c>
      <c r="BXV6" s="11">
        <v>0</v>
      </c>
      <c r="BXW6" s="11">
        <v>0</v>
      </c>
      <c r="BXX6" s="11">
        <v>0</v>
      </c>
      <c r="BXY6" s="11">
        <v>0</v>
      </c>
      <c r="BXZ6" s="11">
        <v>0</v>
      </c>
      <c r="BYA6" s="11">
        <v>0</v>
      </c>
      <c r="BYB6" s="11">
        <v>0</v>
      </c>
      <c r="BYC6" s="11">
        <v>0</v>
      </c>
      <c r="BYD6" s="11">
        <v>0</v>
      </c>
      <c r="BYE6" s="11">
        <v>0</v>
      </c>
      <c r="BYF6" s="11">
        <v>0</v>
      </c>
      <c r="BYG6" s="11">
        <v>0</v>
      </c>
      <c r="BYH6" s="11">
        <v>0</v>
      </c>
      <c r="BYI6" s="11">
        <v>0</v>
      </c>
      <c r="BYJ6" s="11">
        <v>0</v>
      </c>
      <c r="BYK6" s="11">
        <v>0</v>
      </c>
      <c r="BYL6" s="11">
        <v>0</v>
      </c>
      <c r="BYM6" s="11">
        <v>0</v>
      </c>
      <c r="BYN6" s="11">
        <v>0</v>
      </c>
      <c r="BYO6" s="11">
        <v>0</v>
      </c>
      <c r="BYP6" s="11">
        <v>0</v>
      </c>
      <c r="BYQ6" s="11">
        <v>0</v>
      </c>
      <c r="BYR6" s="11">
        <v>0</v>
      </c>
      <c r="BYS6" s="11">
        <v>0</v>
      </c>
      <c r="BYT6" s="11">
        <v>0</v>
      </c>
      <c r="BYU6" s="11">
        <v>0</v>
      </c>
      <c r="BYV6" s="11">
        <v>0</v>
      </c>
      <c r="BYW6" s="11">
        <v>0</v>
      </c>
      <c r="BYX6" s="11">
        <v>0</v>
      </c>
      <c r="BYY6" s="11">
        <v>0</v>
      </c>
      <c r="BYZ6" s="11">
        <v>0</v>
      </c>
      <c r="BZA6" s="11">
        <v>0</v>
      </c>
      <c r="BZB6" s="11">
        <v>0</v>
      </c>
      <c r="BZC6" s="11">
        <v>0</v>
      </c>
      <c r="BZD6" s="11">
        <v>0</v>
      </c>
      <c r="BZE6" s="11">
        <v>0</v>
      </c>
      <c r="BZF6" s="11">
        <v>0</v>
      </c>
      <c r="BZG6" s="11">
        <v>0</v>
      </c>
      <c r="BZH6" s="11">
        <v>0</v>
      </c>
      <c r="BZI6" s="11">
        <v>0</v>
      </c>
      <c r="BZJ6" s="11">
        <v>0</v>
      </c>
      <c r="BZK6" s="11">
        <v>0</v>
      </c>
      <c r="BZL6" s="11">
        <v>0</v>
      </c>
      <c r="BZM6" s="11">
        <v>0</v>
      </c>
      <c r="BZN6" s="11">
        <v>0</v>
      </c>
      <c r="BZO6" s="11">
        <v>0</v>
      </c>
      <c r="BZP6" s="11">
        <v>0</v>
      </c>
      <c r="BZQ6" s="11">
        <v>0</v>
      </c>
      <c r="BZR6" s="11">
        <v>0</v>
      </c>
      <c r="BZS6" s="11">
        <v>0</v>
      </c>
      <c r="BZT6" s="11">
        <v>0</v>
      </c>
      <c r="BZU6" s="15">
        <v>0</v>
      </c>
    </row>
    <row r="7" spans="1:2049" s="3" customFormat="1" outlineLevel="1" x14ac:dyDescent="0.3">
      <c r="A7" s="31" t="s">
        <v>169</v>
      </c>
      <c r="B7" s="4" t="s">
        <v>53</v>
      </c>
      <c r="C7" s="4" t="s">
        <v>0</v>
      </c>
      <c r="D7" s="4"/>
      <c r="E7" s="4"/>
      <c r="F7" s="4"/>
      <c r="G7" s="4"/>
      <c r="H7" s="4"/>
      <c r="I7" s="4"/>
      <c r="J7" s="4"/>
      <c r="K7" s="4" t="s">
        <v>172</v>
      </c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 t="s">
        <v>382</v>
      </c>
      <c r="AR7" s="4" t="s">
        <v>383</v>
      </c>
      <c r="AS7" s="4" t="s">
        <v>33</v>
      </c>
      <c r="AT7" s="4" t="s">
        <v>34</v>
      </c>
      <c r="AU7" s="4" t="s">
        <v>35</v>
      </c>
      <c r="AV7" s="4" t="s">
        <v>36</v>
      </c>
      <c r="AW7" s="4" t="s">
        <v>37</v>
      </c>
      <c r="AX7" s="4" t="s">
        <v>38</v>
      </c>
      <c r="AY7" s="4" t="s">
        <v>39</v>
      </c>
      <c r="AZ7" s="4" t="s">
        <v>40</v>
      </c>
      <c r="BA7" s="4" t="s">
        <v>41</v>
      </c>
      <c r="BB7" s="4" t="s">
        <v>42</v>
      </c>
      <c r="BC7" s="4" t="s">
        <v>54</v>
      </c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 t="s">
        <v>55</v>
      </c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 t="s">
        <v>76</v>
      </c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 t="s">
        <v>78</v>
      </c>
      <c r="FF7" s="4" t="s">
        <v>79</v>
      </c>
      <c r="FG7" s="4" t="s">
        <v>80</v>
      </c>
      <c r="FH7" s="4" t="s">
        <v>81</v>
      </c>
      <c r="FI7" s="4" t="s">
        <v>82</v>
      </c>
      <c r="FJ7" s="4" t="s">
        <v>77</v>
      </c>
      <c r="FK7" s="4" t="s">
        <v>83</v>
      </c>
      <c r="FL7" s="4" t="s">
        <v>84</v>
      </c>
      <c r="FM7" s="4" t="s">
        <v>85</v>
      </c>
      <c r="FN7" s="4" t="s">
        <v>86</v>
      </c>
      <c r="FO7" s="4" t="s">
        <v>87</v>
      </c>
      <c r="FP7" s="63" t="s">
        <v>386</v>
      </c>
      <c r="FQ7" s="4" t="s">
        <v>104</v>
      </c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 t="s">
        <v>137</v>
      </c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 t="s">
        <v>143</v>
      </c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 t="s">
        <v>142</v>
      </c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 t="s">
        <v>141</v>
      </c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 t="s">
        <v>140</v>
      </c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 t="s">
        <v>139</v>
      </c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  <c r="ON7" s="4"/>
      <c r="OO7" s="4"/>
      <c r="OP7" s="4"/>
      <c r="OQ7" s="4"/>
      <c r="OR7" s="4"/>
      <c r="OS7" s="4"/>
      <c r="OT7" s="4"/>
      <c r="OU7" s="4" t="s">
        <v>138</v>
      </c>
      <c r="OV7" s="4"/>
      <c r="OW7" s="4"/>
      <c r="OX7" s="4"/>
      <c r="OY7" s="4"/>
      <c r="OZ7" s="4"/>
      <c r="PA7" s="4"/>
      <c r="PB7" s="4"/>
      <c r="PC7" s="4"/>
      <c r="PD7" s="4"/>
      <c r="PE7" s="4"/>
      <c r="PF7" s="4"/>
      <c r="PG7" s="4"/>
      <c r="PH7" s="4"/>
      <c r="PI7" s="4"/>
      <c r="PJ7" s="4"/>
      <c r="PK7" s="4"/>
      <c r="PL7" s="4"/>
      <c r="PM7" s="4"/>
      <c r="PN7" s="4"/>
      <c r="PO7" s="4"/>
      <c r="PP7" s="4"/>
      <c r="PQ7" s="4"/>
      <c r="PR7" s="4"/>
      <c r="PS7" s="4"/>
      <c r="PT7" s="4"/>
      <c r="PU7" s="4"/>
      <c r="PV7" s="4"/>
      <c r="PW7" s="4"/>
      <c r="PX7" s="4"/>
      <c r="PY7" s="4"/>
      <c r="PZ7" s="4"/>
      <c r="QA7" s="4"/>
      <c r="QB7" s="4"/>
      <c r="QC7" s="4" t="s">
        <v>144</v>
      </c>
      <c r="QD7" s="4"/>
      <c r="QE7" s="4"/>
      <c r="QF7" s="4"/>
      <c r="QG7" s="4"/>
      <c r="QH7" s="4"/>
      <c r="QI7" s="4"/>
      <c r="QJ7" s="4"/>
      <c r="QK7" s="4" t="s">
        <v>153</v>
      </c>
      <c r="QL7" s="4"/>
      <c r="QM7" s="4"/>
      <c r="QN7" s="4"/>
      <c r="QO7" s="4"/>
      <c r="QP7" s="4"/>
      <c r="QQ7" s="4"/>
      <c r="QR7" s="4"/>
      <c r="QS7" s="4" t="s">
        <v>154</v>
      </c>
      <c r="QT7" s="4"/>
      <c r="QU7" s="4"/>
      <c r="QV7" s="4"/>
      <c r="QW7" s="4"/>
      <c r="QX7" s="4"/>
      <c r="QY7" s="4"/>
      <c r="QZ7" s="4"/>
      <c r="RA7" s="4" t="s">
        <v>155</v>
      </c>
      <c r="RB7" s="4"/>
      <c r="RC7" s="4"/>
      <c r="RD7" s="4"/>
      <c r="RE7" s="4"/>
      <c r="RF7" s="4"/>
      <c r="RG7" s="4"/>
      <c r="RH7" s="4"/>
      <c r="RI7" s="4"/>
      <c r="RJ7" s="4"/>
      <c r="RK7" s="4"/>
      <c r="RL7" s="4"/>
      <c r="RM7" s="4"/>
      <c r="RN7" s="4"/>
      <c r="RO7" s="4"/>
      <c r="RP7" s="4"/>
      <c r="RQ7" s="4" t="s">
        <v>156</v>
      </c>
      <c r="RR7" s="4"/>
      <c r="RS7" s="4"/>
      <c r="RT7" s="4"/>
      <c r="RU7" s="4"/>
      <c r="RV7" s="4"/>
      <c r="RW7" s="4"/>
      <c r="RX7" s="4"/>
      <c r="RY7" s="4"/>
      <c r="RZ7" s="4"/>
      <c r="SA7" s="4"/>
      <c r="SB7" s="4"/>
      <c r="SC7" s="4" t="s">
        <v>157</v>
      </c>
      <c r="SD7" s="4"/>
      <c r="SE7" s="4"/>
      <c r="SF7" s="4"/>
      <c r="SG7" s="4"/>
      <c r="SH7" s="4"/>
      <c r="SI7" s="4" t="s">
        <v>158</v>
      </c>
      <c r="SJ7" s="4"/>
      <c r="SK7" s="4" t="s">
        <v>159</v>
      </c>
      <c r="SL7" s="4" t="s">
        <v>160</v>
      </c>
      <c r="SM7" s="4"/>
      <c r="SN7" s="4"/>
      <c r="SO7" s="4"/>
      <c r="SP7" s="4"/>
      <c r="SQ7" s="4"/>
      <c r="SR7" s="4"/>
      <c r="SS7" s="4"/>
      <c r="ST7" s="4" t="s">
        <v>161</v>
      </c>
      <c r="SU7" s="4" t="s">
        <v>162</v>
      </c>
      <c r="SV7" s="4" t="s">
        <v>163</v>
      </c>
      <c r="SW7" s="4" t="s">
        <v>165</v>
      </c>
      <c r="SX7" s="4" t="s">
        <v>164</v>
      </c>
      <c r="SY7" s="4"/>
      <c r="SZ7" s="4"/>
      <c r="TA7" s="4"/>
      <c r="TB7" s="4"/>
      <c r="TC7" s="4"/>
      <c r="TD7" s="4"/>
      <c r="TE7" s="4"/>
      <c r="TF7" s="4"/>
      <c r="TG7" s="4"/>
      <c r="TH7" s="4"/>
      <c r="TI7" s="4"/>
      <c r="TJ7" s="4"/>
      <c r="TK7" s="4"/>
      <c r="TL7" s="4"/>
      <c r="TM7" s="4"/>
      <c r="TN7" s="4"/>
      <c r="TO7" s="4"/>
      <c r="TP7" s="4"/>
      <c r="TQ7" s="4"/>
      <c r="TR7" s="4" t="s">
        <v>167</v>
      </c>
      <c r="TS7" s="4"/>
      <c r="TT7" s="4"/>
      <c r="TU7" s="4"/>
      <c r="TV7" s="4"/>
      <c r="TW7" s="4"/>
      <c r="TX7" s="4"/>
      <c r="TY7" s="4"/>
      <c r="TZ7" s="4"/>
      <c r="UA7" s="4"/>
      <c r="UB7" s="4"/>
      <c r="UC7" s="4"/>
      <c r="UD7" s="4" t="s">
        <v>166</v>
      </c>
      <c r="UE7" s="4"/>
      <c r="UF7" s="4"/>
      <c r="UG7" s="4"/>
      <c r="UH7" s="4"/>
      <c r="UI7" s="4"/>
      <c r="UJ7" s="4" t="s">
        <v>168</v>
      </c>
      <c r="UK7" s="4" t="s">
        <v>94</v>
      </c>
      <c r="UL7" s="4"/>
      <c r="UM7" s="4"/>
      <c r="UN7" s="4"/>
      <c r="UO7" s="4"/>
      <c r="UP7" s="4"/>
      <c r="UQ7" s="4"/>
      <c r="UR7" s="4"/>
      <c r="US7" s="4" t="s">
        <v>93</v>
      </c>
      <c r="UT7" s="4"/>
      <c r="UU7" s="4"/>
      <c r="UV7" s="4"/>
      <c r="UW7" s="4"/>
      <c r="UX7" s="4"/>
      <c r="UY7" s="4"/>
      <c r="UZ7" s="4"/>
      <c r="VA7" s="4" t="s">
        <v>92</v>
      </c>
      <c r="VB7" s="4"/>
      <c r="VC7" s="4"/>
      <c r="VD7" s="4"/>
      <c r="VE7" s="4"/>
      <c r="VF7" s="4"/>
      <c r="VG7" s="4"/>
      <c r="VH7" s="4"/>
      <c r="VI7" s="4" t="s">
        <v>91</v>
      </c>
      <c r="VJ7" s="4"/>
      <c r="VK7" s="4"/>
      <c r="VL7" s="4"/>
      <c r="VM7" s="4"/>
      <c r="VN7" s="4"/>
      <c r="VO7" s="4"/>
      <c r="VP7" s="4"/>
      <c r="VQ7" s="4" t="s">
        <v>90</v>
      </c>
      <c r="VR7" s="4"/>
      <c r="VS7" s="4"/>
      <c r="VT7" s="4"/>
      <c r="VU7" s="4"/>
      <c r="VV7" s="4"/>
      <c r="VW7" s="4"/>
      <c r="VX7" s="4"/>
      <c r="VY7" s="4" t="s">
        <v>88</v>
      </c>
      <c r="VZ7" s="4"/>
      <c r="WA7" s="4"/>
      <c r="WB7" s="4"/>
      <c r="WC7" s="4"/>
      <c r="WD7" s="4"/>
      <c r="WE7" s="4"/>
      <c r="WF7" s="4"/>
      <c r="WG7" s="4" t="s">
        <v>51</v>
      </c>
      <c r="WH7" s="4"/>
      <c r="WI7" s="4"/>
      <c r="WJ7" s="4"/>
      <c r="WK7" s="4"/>
      <c r="WL7" s="4"/>
      <c r="WM7" s="4"/>
      <c r="WN7" s="4"/>
      <c r="WO7" s="4" t="s">
        <v>99</v>
      </c>
      <c r="WP7" s="4"/>
      <c r="WQ7" s="4"/>
      <c r="WR7" s="4"/>
      <c r="WS7" s="4"/>
      <c r="WT7" s="4"/>
      <c r="WU7" s="4"/>
      <c r="WV7" s="4"/>
      <c r="WW7" s="4" t="s">
        <v>100</v>
      </c>
      <c r="WX7" s="4"/>
      <c r="WY7" s="4"/>
      <c r="WZ7" s="4"/>
      <c r="XA7" s="4"/>
      <c r="XB7" s="4"/>
      <c r="XC7" s="4"/>
      <c r="XD7" s="4"/>
      <c r="XE7" s="4" t="s">
        <v>101</v>
      </c>
      <c r="XF7" s="4"/>
      <c r="XG7" s="4"/>
      <c r="XH7" s="4"/>
      <c r="XI7" s="4"/>
      <c r="XJ7" s="4"/>
      <c r="XK7" s="4"/>
      <c r="XL7" s="4"/>
      <c r="XM7" s="4" t="s">
        <v>102</v>
      </c>
      <c r="XN7" s="4"/>
      <c r="XO7" s="4"/>
      <c r="XP7" s="4"/>
      <c r="XQ7" s="4"/>
      <c r="XR7" s="4"/>
      <c r="XS7" s="4"/>
      <c r="XT7" s="4"/>
      <c r="XU7" s="4" t="s">
        <v>103</v>
      </c>
      <c r="XV7" s="4"/>
      <c r="XW7" s="4"/>
      <c r="XX7" s="4"/>
      <c r="XY7" s="4"/>
      <c r="XZ7" s="4"/>
      <c r="YA7" s="4"/>
      <c r="YB7" s="4"/>
      <c r="YC7" s="4" t="s">
        <v>98</v>
      </c>
      <c r="YD7" s="4"/>
      <c r="YE7" s="4"/>
      <c r="YF7" s="4"/>
      <c r="YG7" s="4"/>
      <c r="YH7" s="4"/>
      <c r="YI7" s="4"/>
      <c r="YJ7" s="4"/>
      <c r="YK7" s="4" t="s">
        <v>97</v>
      </c>
      <c r="YL7" s="4"/>
      <c r="YM7" s="4"/>
      <c r="YN7" s="4"/>
      <c r="YO7" s="4"/>
      <c r="YP7" s="4"/>
      <c r="YQ7" s="4"/>
      <c r="YR7" s="4"/>
      <c r="YS7" s="4" t="s">
        <v>95</v>
      </c>
      <c r="YT7" s="4"/>
      <c r="YU7" s="4"/>
      <c r="YV7" s="4"/>
      <c r="YW7" s="4"/>
      <c r="YX7" s="4"/>
      <c r="YY7" s="4"/>
      <c r="YZ7" s="4"/>
      <c r="ZA7" s="4" t="s">
        <v>96</v>
      </c>
      <c r="ZB7" s="4"/>
      <c r="ZC7" s="4"/>
      <c r="ZD7" s="4"/>
      <c r="ZE7" s="4"/>
      <c r="ZF7" s="4"/>
      <c r="ZG7" s="4"/>
      <c r="ZH7" s="4"/>
      <c r="ZI7" s="4"/>
      <c r="ZJ7" s="4"/>
      <c r="ZK7" s="4"/>
      <c r="ZL7" s="4"/>
      <c r="ZM7" s="4"/>
      <c r="ZN7" s="4"/>
      <c r="ZO7" s="4"/>
      <c r="ZP7" s="4"/>
      <c r="ZQ7" s="4"/>
      <c r="ZR7" s="4"/>
      <c r="ZS7" s="4"/>
      <c r="ZT7" s="4"/>
      <c r="ZU7" s="4"/>
      <c r="ZV7" s="4"/>
      <c r="ZW7" s="4"/>
      <c r="ZX7" s="4"/>
      <c r="ZY7" s="4"/>
      <c r="ZZ7" s="4"/>
      <c r="AAA7" s="4"/>
      <c r="AAB7" s="4"/>
      <c r="AAC7" s="4"/>
      <c r="AAD7" s="4"/>
      <c r="AAE7" s="4"/>
      <c r="AAF7" s="4"/>
      <c r="AAG7" s="4"/>
      <c r="AAH7" s="4"/>
      <c r="AAI7" s="4"/>
      <c r="AAJ7" s="4"/>
      <c r="AAK7" s="4"/>
      <c r="AAL7" s="4"/>
      <c r="AAM7" s="4"/>
      <c r="AAN7" s="4"/>
      <c r="AAO7" s="4"/>
      <c r="AAP7" s="4"/>
      <c r="AAQ7" s="4"/>
      <c r="AAR7" s="4"/>
      <c r="AAS7" s="4"/>
      <c r="AAT7" s="4"/>
      <c r="AAU7" s="4"/>
      <c r="AAV7" s="4"/>
      <c r="AAW7" s="4"/>
      <c r="AAX7" s="4"/>
      <c r="AAY7" s="4"/>
      <c r="AAZ7" s="4"/>
      <c r="ABA7" s="4"/>
      <c r="ABB7" s="4"/>
      <c r="ABC7" s="4"/>
      <c r="ABD7" s="4"/>
      <c r="ABE7" s="4"/>
      <c r="ABF7" s="4"/>
      <c r="ABG7" s="4"/>
      <c r="ABH7" s="4"/>
      <c r="ABI7" s="4"/>
      <c r="ABJ7" s="4"/>
      <c r="ABK7" s="4"/>
      <c r="ABL7" s="4"/>
      <c r="ABM7" s="4"/>
      <c r="ABN7" s="4"/>
      <c r="ABO7" s="4"/>
      <c r="ABP7" s="4"/>
      <c r="ABQ7" s="4"/>
      <c r="ABR7" s="4"/>
      <c r="ABS7" s="4"/>
      <c r="ABT7" s="4"/>
      <c r="ABU7" s="4"/>
      <c r="ABV7" s="4"/>
      <c r="ABW7" s="4"/>
      <c r="ABX7" s="4"/>
      <c r="ABY7" s="4"/>
      <c r="ABZ7" s="4"/>
      <c r="ACA7" s="4"/>
      <c r="ACB7" s="4"/>
      <c r="ACC7" s="4"/>
      <c r="ACD7" s="4"/>
      <c r="ACE7" s="4"/>
      <c r="ACF7" s="4"/>
      <c r="ACG7" s="4"/>
      <c r="ACH7" s="4"/>
      <c r="ACI7" s="4"/>
      <c r="ACJ7" s="4"/>
      <c r="ACK7" s="4"/>
      <c r="ACL7" s="4"/>
      <c r="ACM7" s="4"/>
      <c r="ACN7" s="4"/>
      <c r="ACO7" s="4"/>
      <c r="ACP7" s="4"/>
      <c r="ACQ7" s="4"/>
      <c r="ACR7" s="4"/>
      <c r="ACS7" s="4"/>
      <c r="ACT7" s="4"/>
      <c r="ACU7" s="4"/>
      <c r="ACV7" s="4"/>
      <c r="ACW7" s="4"/>
      <c r="ACX7" s="4"/>
      <c r="ACY7" s="4"/>
      <c r="ACZ7" s="4"/>
      <c r="ADA7" s="4"/>
      <c r="ADB7" s="4"/>
      <c r="ADC7" s="4"/>
      <c r="ADD7" s="4"/>
      <c r="ADE7" s="4"/>
      <c r="ADF7" s="4"/>
      <c r="ADG7" s="4"/>
      <c r="ADH7" s="4"/>
      <c r="ADI7" s="4"/>
      <c r="ADJ7" s="4"/>
      <c r="ADK7" s="4"/>
      <c r="ADL7" s="4"/>
      <c r="ADM7" s="4"/>
      <c r="ADN7" s="4"/>
      <c r="ADO7" s="4"/>
      <c r="ADP7" s="4"/>
      <c r="ADQ7" s="4"/>
      <c r="ADR7" s="4"/>
      <c r="ADS7" s="4"/>
      <c r="ADT7" s="4"/>
      <c r="ADU7" s="4"/>
      <c r="ADV7" s="4"/>
      <c r="ADW7" s="4"/>
      <c r="ADX7" s="4"/>
      <c r="ADY7" s="4"/>
      <c r="ADZ7" s="4"/>
      <c r="AEA7" s="4"/>
      <c r="AEB7" s="4"/>
      <c r="AEC7" s="4"/>
      <c r="AED7" s="4"/>
      <c r="AEE7" s="4"/>
      <c r="AEF7" s="4"/>
      <c r="AEG7" s="4"/>
      <c r="AEH7" s="4"/>
      <c r="AEI7" s="4"/>
      <c r="AEJ7" s="4"/>
      <c r="AEK7" s="4"/>
      <c r="AEL7" s="4"/>
      <c r="AEM7" s="4"/>
      <c r="AEN7" s="4"/>
      <c r="AEO7" s="4"/>
      <c r="AEP7" s="4"/>
      <c r="AEQ7" s="4"/>
      <c r="AER7" s="4"/>
      <c r="AES7" s="4"/>
      <c r="AET7" s="4"/>
      <c r="AEU7" s="4"/>
      <c r="AEV7" s="4"/>
      <c r="AEW7" s="4"/>
      <c r="AEX7" s="4"/>
      <c r="AEY7" s="4"/>
      <c r="AEZ7" s="4"/>
      <c r="AFA7" s="4"/>
      <c r="AFB7" s="4"/>
      <c r="AFC7" s="4"/>
      <c r="AFD7" s="4"/>
      <c r="AFE7" s="4"/>
      <c r="AFF7" s="4"/>
      <c r="AFG7" s="4"/>
      <c r="AFH7" s="4"/>
      <c r="AFI7" s="4"/>
      <c r="AFJ7" s="4"/>
      <c r="AFK7" s="4"/>
      <c r="AFL7" s="4"/>
      <c r="AFM7" s="4"/>
      <c r="AFN7" s="4"/>
      <c r="AFO7" s="4"/>
      <c r="AFP7" s="4"/>
      <c r="AFQ7" s="4"/>
      <c r="AFR7" s="4"/>
      <c r="AFS7" s="4"/>
      <c r="AFT7" s="4"/>
      <c r="AFU7" s="4"/>
      <c r="AFV7" s="4"/>
      <c r="AFW7" s="4"/>
      <c r="AFX7" s="4"/>
      <c r="AFY7" s="4"/>
      <c r="AFZ7" s="4"/>
      <c r="AGA7" s="4"/>
      <c r="AGB7" s="4"/>
      <c r="AGC7" s="4"/>
      <c r="AGD7" s="4"/>
      <c r="AGE7" s="4"/>
      <c r="AGF7" s="4"/>
      <c r="AGG7" s="4"/>
      <c r="AGH7" s="4"/>
      <c r="AGI7" s="4"/>
      <c r="AGJ7" s="4"/>
      <c r="AGK7" s="4"/>
      <c r="AGL7" s="4"/>
      <c r="AGM7" s="4"/>
      <c r="AGN7" s="4"/>
      <c r="AGO7" s="4"/>
      <c r="AGP7" s="4"/>
      <c r="AGQ7" s="4"/>
      <c r="AGR7" s="4"/>
      <c r="AGS7" s="4"/>
      <c r="AGT7" s="4"/>
      <c r="AGU7" s="4"/>
      <c r="AGV7" s="4"/>
      <c r="AGW7" s="4"/>
      <c r="AGX7" s="4"/>
      <c r="AGY7" s="4"/>
      <c r="AGZ7" s="4"/>
      <c r="AHA7" s="4"/>
      <c r="AHB7" s="4"/>
      <c r="AHC7" s="4"/>
      <c r="AHD7" s="4"/>
      <c r="AHE7" s="4"/>
      <c r="AHF7" s="4"/>
      <c r="AHG7" s="4"/>
      <c r="AHH7" s="4"/>
      <c r="AHI7" s="4"/>
      <c r="AHJ7" s="4"/>
      <c r="AHK7" s="4"/>
      <c r="AHL7" s="4"/>
      <c r="AHM7" s="4"/>
      <c r="AHN7" s="4"/>
      <c r="AHO7" s="4"/>
      <c r="AHP7" s="4"/>
      <c r="AHQ7" s="4"/>
      <c r="AHR7" s="4"/>
      <c r="AHS7" s="4"/>
      <c r="AHT7" s="4"/>
      <c r="AHU7" s="4"/>
      <c r="AHV7" s="4"/>
      <c r="AHW7" s="4"/>
      <c r="AHX7" s="4"/>
      <c r="AHY7" s="4"/>
      <c r="AHZ7" s="4"/>
      <c r="AIA7" s="4"/>
      <c r="AIB7" s="4"/>
      <c r="AIC7" s="4"/>
      <c r="AID7" s="4"/>
      <c r="AIE7" s="4"/>
      <c r="AIF7" s="4"/>
      <c r="AIG7" s="4"/>
      <c r="AIH7" s="4"/>
      <c r="AII7" s="4"/>
      <c r="AIJ7" s="4"/>
      <c r="AIK7" s="4"/>
      <c r="AIL7" s="4"/>
      <c r="AIM7" s="4"/>
      <c r="AIN7" s="4"/>
      <c r="AIO7" s="4"/>
      <c r="AIP7" s="4"/>
      <c r="AIQ7" s="4"/>
      <c r="AIR7" s="4"/>
      <c r="AIS7" s="4"/>
      <c r="AIT7" s="4"/>
      <c r="AIU7" s="4"/>
      <c r="AIV7" s="4"/>
      <c r="AIW7" s="4"/>
      <c r="AIX7" s="4"/>
      <c r="AIY7" s="4"/>
      <c r="AIZ7" s="4"/>
      <c r="AJA7" s="4"/>
      <c r="AJB7" s="4"/>
      <c r="AJC7" s="4"/>
      <c r="AJD7" s="4"/>
      <c r="AJE7" s="4"/>
      <c r="AJF7" s="4"/>
      <c r="AJG7" s="4"/>
      <c r="AJH7" s="4"/>
      <c r="AJI7" s="4"/>
      <c r="AJJ7" s="4"/>
      <c r="AJK7" s="4"/>
      <c r="AJL7" s="4"/>
      <c r="AJM7" s="4"/>
      <c r="AJN7" s="4"/>
      <c r="AJO7" s="4"/>
      <c r="AJP7" s="4"/>
      <c r="AJQ7" s="4"/>
      <c r="AJR7" s="4"/>
      <c r="AJS7" s="4"/>
      <c r="AJT7" s="4"/>
      <c r="AJU7" s="4"/>
      <c r="AJV7" s="4"/>
      <c r="AJW7" s="4"/>
      <c r="AJX7" s="4"/>
      <c r="AJY7" s="4"/>
      <c r="AJZ7" s="4"/>
      <c r="AKA7" s="4"/>
      <c r="AKB7" s="4"/>
      <c r="AKC7" s="4"/>
      <c r="AKD7" s="4"/>
      <c r="AKE7" s="4"/>
      <c r="AKF7" s="4"/>
      <c r="AKG7" s="4"/>
      <c r="AKH7" s="4"/>
      <c r="AKI7" s="4"/>
      <c r="AKJ7" s="4"/>
      <c r="AKK7" s="4"/>
      <c r="AKL7" s="4"/>
      <c r="AKM7" s="4"/>
      <c r="AKN7" s="4"/>
      <c r="AKO7" s="4"/>
      <c r="AKP7" s="4"/>
      <c r="AKQ7" s="4"/>
      <c r="AKR7" s="4"/>
      <c r="AKS7" s="4"/>
      <c r="AKT7" s="4"/>
      <c r="AKU7" s="4"/>
      <c r="AKV7" s="4"/>
      <c r="AKW7" s="4"/>
      <c r="AKX7" s="4"/>
      <c r="AKY7" s="4"/>
      <c r="AKZ7" s="4"/>
      <c r="ALA7" s="4"/>
      <c r="ALB7" s="4"/>
      <c r="ALC7" s="4"/>
      <c r="ALD7" s="4"/>
      <c r="ALE7" s="4"/>
      <c r="ALF7" s="4"/>
      <c r="ALG7" s="4"/>
      <c r="ALH7" s="4"/>
      <c r="ALI7" s="4"/>
      <c r="ALJ7" s="4"/>
      <c r="ALK7" s="4"/>
      <c r="ALL7" s="4"/>
      <c r="ALM7" s="4"/>
      <c r="ALN7" s="4"/>
      <c r="ALO7" s="4"/>
      <c r="ALP7" s="4"/>
      <c r="ALQ7" s="4"/>
      <c r="ALR7" s="4"/>
      <c r="ALS7" s="4"/>
      <c r="ALT7" s="4"/>
      <c r="ALU7" s="4"/>
      <c r="ALV7" s="4"/>
      <c r="ALW7" s="4"/>
      <c r="ALX7" s="4"/>
      <c r="ALY7" s="4"/>
      <c r="ALZ7" s="4"/>
      <c r="AMA7" s="4"/>
      <c r="AMB7" s="4"/>
      <c r="AMC7" s="4"/>
      <c r="AMD7" s="4"/>
      <c r="AME7" s="4"/>
      <c r="AMF7" s="4"/>
      <c r="AMG7" s="4"/>
      <c r="AMH7" s="4"/>
      <c r="AMI7" s="4"/>
      <c r="AMJ7" s="4"/>
      <c r="AMK7" s="4"/>
      <c r="AML7" s="4"/>
      <c r="AMM7" s="4"/>
      <c r="AMN7" s="4"/>
      <c r="AMO7" s="4"/>
      <c r="AMP7" s="4"/>
      <c r="AMQ7" s="4"/>
      <c r="AMR7" s="4"/>
      <c r="AMS7" s="4"/>
      <c r="AMT7" s="4"/>
      <c r="AMU7" s="4"/>
      <c r="AMV7" s="4"/>
      <c r="AMW7" s="4"/>
      <c r="AMX7" s="4"/>
      <c r="AMY7" s="4"/>
      <c r="AMZ7" s="4"/>
      <c r="ANA7" s="4"/>
      <c r="ANB7" s="4"/>
      <c r="ANC7" s="4"/>
      <c r="AND7" s="4"/>
      <c r="ANE7" s="4"/>
      <c r="ANF7" s="4"/>
      <c r="ANG7" s="4"/>
      <c r="ANH7" s="4"/>
      <c r="ANI7" s="4"/>
      <c r="ANJ7" s="4"/>
      <c r="ANK7" s="4"/>
      <c r="ANL7" s="4"/>
      <c r="ANM7" s="4"/>
      <c r="ANN7" s="4"/>
      <c r="ANO7" s="4"/>
      <c r="ANP7" s="4"/>
      <c r="ANQ7" s="4"/>
      <c r="ANR7" s="4"/>
      <c r="ANS7" s="4"/>
      <c r="ANT7" s="4"/>
      <c r="ANU7" s="4"/>
      <c r="ANV7" s="4"/>
      <c r="ANW7" s="4"/>
      <c r="ANX7" s="4"/>
      <c r="ANY7" s="4"/>
      <c r="ANZ7" s="4"/>
      <c r="AOA7" s="4"/>
      <c r="AOB7" s="4"/>
      <c r="AOC7" s="4"/>
      <c r="AOD7" s="4"/>
      <c r="AOE7" s="4"/>
      <c r="AOF7" s="4"/>
      <c r="AOG7" s="4"/>
      <c r="AOH7" s="4"/>
      <c r="AOI7" s="4"/>
      <c r="AOJ7" s="4"/>
      <c r="AOK7" s="4"/>
      <c r="AOL7" s="4"/>
      <c r="AOM7" s="4"/>
      <c r="AON7" s="4"/>
      <c r="AOO7" s="4"/>
      <c r="AOP7" s="4"/>
      <c r="AOQ7" s="4"/>
      <c r="AOR7" s="4"/>
      <c r="AOS7" s="4"/>
      <c r="AOT7" s="4"/>
      <c r="AOU7" s="4"/>
      <c r="AOV7" s="4"/>
      <c r="AOW7" s="4"/>
      <c r="AOX7" s="4"/>
      <c r="AOY7" s="4"/>
      <c r="AOZ7" s="4"/>
      <c r="APA7" s="4"/>
      <c r="APB7" s="4"/>
      <c r="APC7" s="4"/>
      <c r="APD7" s="4"/>
      <c r="APE7" s="4"/>
      <c r="APF7" s="4"/>
      <c r="APG7" s="4"/>
      <c r="APH7" s="4"/>
      <c r="API7" s="4"/>
      <c r="APJ7" s="4"/>
      <c r="APK7" s="4"/>
      <c r="APL7" s="4"/>
      <c r="APM7" s="4"/>
      <c r="APN7" s="4"/>
      <c r="APO7" s="4"/>
      <c r="APP7" s="4"/>
      <c r="APQ7" s="4"/>
      <c r="APR7" s="4"/>
      <c r="APS7" s="4"/>
      <c r="APT7" s="4"/>
      <c r="APU7" s="4"/>
      <c r="APV7" s="4"/>
      <c r="APW7" s="4"/>
      <c r="APX7" s="4"/>
      <c r="APY7" s="4"/>
      <c r="APZ7" s="4"/>
      <c r="AQA7" s="4"/>
      <c r="AQB7" s="4"/>
      <c r="AQC7" s="4"/>
      <c r="AQD7" s="4"/>
      <c r="AQE7" s="4"/>
      <c r="AQF7" s="4"/>
      <c r="AQG7" s="4"/>
      <c r="AQH7" s="4"/>
      <c r="AQI7" s="4"/>
      <c r="AQJ7" s="4"/>
      <c r="AQK7" s="4"/>
      <c r="AQL7" s="4"/>
      <c r="AQM7" s="4"/>
      <c r="AQN7" s="4"/>
      <c r="AQO7" s="4"/>
      <c r="AQP7" s="4"/>
      <c r="AQQ7" s="4"/>
      <c r="AQR7" s="4"/>
      <c r="AQS7" s="4"/>
      <c r="AQT7" s="4"/>
      <c r="AQU7" s="4"/>
      <c r="AQV7" s="4"/>
      <c r="AQW7" s="4"/>
      <c r="AQX7" s="4"/>
      <c r="AQY7" s="4"/>
      <c r="AQZ7" s="4"/>
      <c r="ARA7" s="4"/>
      <c r="ARB7" s="4"/>
      <c r="ARC7" s="4"/>
      <c r="ARD7" s="4"/>
      <c r="ARE7" s="4"/>
      <c r="ARF7" s="4"/>
      <c r="ARG7" s="4"/>
      <c r="ARH7" s="4"/>
      <c r="ARI7" s="4"/>
      <c r="ARJ7" s="4"/>
      <c r="ARK7" s="4"/>
      <c r="ARL7" s="4"/>
      <c r="ARM7" s="4"/>
      <c r="ARN7" s="4"/>
      <c r="ARO7" s="4"/>
      <c r="ARP7" s="4"/>
      <c r="ARQ7" s="4"/>
      <c r="ARR7" s="4"/>
      <c r="ARS7" s="4"/>
      <c r="ART7" s="4"/>
      <c r="ARU7" s="4"/>
      <c r="ARV7" s="4"/>
      <c r="ARW7" s="4"/>
      <c r="ARX7" s="4"/>
      <c r="ARY7" s="4"/>
      <c r="ARZ7" s="4"/>
      <c r="ASA7" s="4"/>
      <c r="ASB7" s="4"/>
      <c r="ASC7" s="4"/>
      <c r="ASD7" s="4"/>
      <c r="ASE7" s="4"/>
      <c r="ASF7" s="4"/>
      <c r="ASG7" s="4"/>
      <c r="ASH7" s="4"/>
      <c r="ASI7" s="4"/>
      <c r="ASJ7" s="4"/>
      <c r="ASK7" s="4"/>
      <c r="ASL7" s="4"/>
      <c r="ASM7" s="4"/>
      <c r="ASN7" s="4"/>
      <c r="ASO7" s="4"/>
      <c r="ASP7" s="4"/>
      <c r="ASQ7" s="4"/>
      <c r="ASR7" s="4"/>
      <c r="ASS7" s="4"/>
      <c r="AST7" s="4"/>
      <c r="ASU7" s="4"/>
      <c r="ASV7" s="4"/>
      <c r="ASW7" s="4"/>
      <c r="ASX7" s="4"/>
      <c r="ASY7" s="4"/>
      <c r="ASZ7" s="4"/>
      <c r="ATA7" s="4"/>
      <c r="ATB7" s="4"/>
      <c r="ATC7" s="4"/>
      <c r="ATD7" s="4"/>
      <c r="ATE7" s="4"/>
      <c r="ATF7" s="4"/>
      <c r="ATG7" s="4"/>
      <c r="ATH7" s="4"/>
      <c r="ATI7" s="4"/>
      <c r="ATJ7" s="4"/>
      <c r="ATK7" s="4"/>
      <c r="ATL7" s="4"/>
      <c r="ATM7" s="4"/>
      <c r="ATN7" s="4"/>
      <c r="ATO7" s="4"/>
      <c r="ATP7" s="4"/>
      <c r="ATQ7" s="4"/>
      <c r="ATR7" s="4"/>
      <c r="ATS7" s="4"/>
      <c r="ATT7" s="4"/>
      <c r="ATU7" s="4"/>
      <c r="ATV7" s="4"/>
      <c r="ATW7" s="4"/>
      <c r="ATX7" s="4"/>
      <c r="ATY7" s="4"/>
      <c r="ATZ7" s="4"/>
      <c r="AUA7" s="4"/>
      <c r="AUB7" s="4"/>
      <c r="AUC7" s="4"/>
      <c r="AUD7" s="4"/>
      <c r="AUE7" s="4"/>
      <c r="AUF7" s="4"/>
      <c r="AUG7" s="4"/>
      <c r="AUH7" s="4"/>
      <c r="AUI7" s="4"/>
      <c r="AUJ7" s="4"/>
      <c r="AUK7" s="4"/>
      <c r="AUL7" s="4"/>
      <c r="AUM7" s="4"/>
      <c r="AUN7" s="4"/>
      <c r="AUO7" s="4"/>
      <c r="AUP7" s="4"/>
      <c r="AUQ7" s="4"/>
      <c r="AUR7" s="4"/>
      <c r="AUS7" s="4"/>
      <c r="AUT7" s="4"/>
      <c r="AUU7" s="4"/>
      <c r="AUV7" s="4"/>
      <c r="AUW7" s="4"/>
      <c r="AUX7" s="4"/>
      <c r="AUY7" s="4"/>
      <c r="AUZ7" s="4"/>
      <c r="AVA7" s="4"/>
      <c r="AVB7" s="4"/>
      <c r="AVC7" s="4"/>
      <c r="AVD7" s="4"/>
      <c r="AVE7" s="4"/>
      <c r="AVF7" s="4"/>
      <c r="AVG7" s="4"/>
      <c r="AVH7" s="4"/>
      <c r="AVI7" s="4"/>
      <c r="AVJ7" s="4"/>
      <c r="AVK7" s="4"/>
      <c r="AVL7" s="4"/>
      <c r="AVM7" s="4"/>
      <c r="AVN7" s="4"/>
      <c r="AVO7" s="4"/>
      <c r="AVP7" s="4"/>
      <c r="AVQ7" s="4"/>
      <c r="AVR7" s="4"/>
      <c r="AVS7" s="4"/>
      <c r="AVT7" s="4"/>
      <c r="AVU7" s="4"/>
      <c r="AVV7" s="4"/>
      <c r="AVW7" s="4"/>
      <c r="AVX7" s="4"/>
      <c r="AVY7" s="4"/>
      <c r="AVZ7" s="4"/>
      <c r="AWA7" s="4"/>
      <c r="AWB7" s="4"/>
      <c r="AWC7" s="4"/>
      <c r="AWD7" s="4"/>
      <c r="AWE7" s="4"/>
      <c r="AWF7" s="4"/>
      <c r="AWG7" s="4"/>
      <c r="AWH7" s="4"/>
      <c r="AWI7" s="4"/>
      <c r="AWJ7" s="4"/>
      <c r="AWK7" s="4"/>
      <c r="AWL7" s="4"/>
      <c r="AWM7" s="4"/>
      <c r="AWN7" s="4"/>
      <c r="AWO7" s="4"/>
      <c r="AWP7" s="4"/>
      <c r="AWQ7" s="4"/>
      <c r="AWR7" s="4"/>
      <c r="AWS7" s="4"/>
      <c r="AWT7" s="4"/>
      <c r="AWU7" s="4"/>
      <c r="AWV7" s="4"/>
      <c r="AWW7" s="4"/>
      <c r="AWX7" s="4"/>
      <c r="AWY7" s="4"/>
      <c r="AWZ7" s="4"/>
      <c r="AXA7" s="4"/>
      <c r="AXB7" s="4"/>
      <c r="AXC7" s="4"/>
      <c r="AXD7" s="4"/>
      <c r="AXE7" s="4"/>
      <c r="AXF7" s="4"/>
      <c r="AXG7" s="4"/>
      <c r="AXH7" s="4"/>
      <c r="AXI7" s="4"/>
      <c r="AXJ7" s="4"/>
      <c r="AXK7" s="4"/>
      <c r="AXL7" s="4"/>
      <c r="AXM7" s="4"/>
      <c r="AXN7" s="4"/>
      <c r="AXO7" s="4"/>
      <c r="AXP7" s="4"/>
      <c r="AXQ7" s="4"/>
      <c r="AXR7" s="4"/>
      <c r="AXS7" s="4"/>
      <c r="AXT7" s="4"/>
      <c r="AXU7" s="4"/>
      <c r="AXV7" s="4"/>
      <c r="AXW7" s="4"/>
      <c r="AXX7" s="4"/>
      <c r="AXY7" s="4"/>
      <c r="AXZ7" s="4"/>
      <c r="AYA7" s="4"/>
      <c r="AYB7" s="4"/>
      <c r="AYC7" s="4"/>
      <c r="AYD7" s="4"/>
      <c r="AYE7" s="4"/>
      <c r="AYF7" s="4"/>
      <c r="AYG7" s="4"/>
      <c r="AYH7" s="4"/>
      <c r="AYI7" s="4"/>
      <c r="AYJ7" s="4"/>
      <c r="AYK7" s="4"/>
      <c r="AYL7" s="4"/>
      <c r="AYM7" s="4"/>
      <c r="AYN7" s="4"/>
      <c r="AYO7" s="4"/>
      <c r="AYP7" s="4"/>
      <c r="AYQ7" s="4"/>
      <c r="AYR7" s="4"/>
      <c r="AYS7" s="4"/>
      <c r="AYT7" s="4"/>
      <c r="AYU7" s="4"/>
      <c r="AYV7" s="4"/>
      <c r="AYW7" s="4"/>
      <c r="AYX7" s="4"/>
      <c r="AYY7" s="4"/>
      <c r="AYZ7" s="4"/>
      <c r="AZA7" s="4"/>
      <c r="AZB7" s="4"/>
      <c r="AZC7" s="4"/>
      <c r="AZD7" s="4"/>
      <c r="AZE7" s="4"/>
      <c r="AZF7" s="4"/>
      <c r="AZG7" s="4"/>
      <c r="AZH7" s="4"/>
      <c r="AZI7" s="4"/>
      <c r="AZJ7" s="4"/>
      <c r="AZK7" s="4"/>
      <c r="AZL7" s="4"/>
      <c r="AZM7" s="4"/>
      <c r="AZN7" s="4"/>
      <c r="AZO7" s="4"/>
      <c r="AZP7" s="4"/>
      <c r="AZQ7" s="4"/>
      <c r="AZR7" s="4"/>
      <c r="AZS7" s="4"/>
      <c r="AZT7" s="4"/>
      <c r="AZU7" s="4"/>
      <c r="AZV7" s="4"/>
      <c r="AZW7" s="4"/>
      <c r="AZX7" s="4"/>
      <c r="AZY7" s="4"/>
      <c r="AZZ7" s="4"/>
      <c r="BAA7" s="4"/>
      <c r="BAB7" s="4"/>
      <c r="BAC7" s="4"/>
      <c r="BAD7" s="4"/>
      <c r="BAE7" s="4"/>
      <c r="BAF7" s="4"/>
      <c r="BAG7" s="4"/>
      <c r="BAH7" s="4"/>
      <c r="BAI7" s="4"/>
      <c r="BAJ7" s="4"/>
      <c r="BAK7" s="4"/>
      <c r="BAL7" s="4"/>
      <c r="BAM7" s="4"/>
      <c r="BAN7" s="4"/>
      <c r="BAO7" s="4"/>
      <c r="BAP7" s="4"/>
      <c r="BAQ7" s="4"/>
      <c r="BAR7" s="4"/>
      <c r="BAS7" s="4"/>
      <c r="BAT7" s="4"/>
      <c r="BAU7" s="4"/>
      <c r="BAV7" s="4"/>
      <c r="BAW7" s="4"/>
      <c r="BAX7" s="4"/>
      <c r="BAY7" s="4"/>
      <c r="BAZ7" s="4"/>
      <c r="BBA7" s="4"/>
      <c r="BBB7" s="4"/>
      <c r="BBC7" s="4"/>
      <c r="BBD7" s="4"/>
      <c r="BBE7" s="4"/>
      <c r="BBF7" s="4"/>
      <c r="BBG7" s="4"/>
      <c r="BBH7" s="4"/>
      <c r="BBI7" s="4"/>
      <c r="BBJ7" s="4"/>
      <c r="BBK7" s="4"/>
      <c r="BBL7" s="4"/>
      <c r="BBM7" s="4"/>
      <c r="BBN7" s="4"/>
      <c r="BBO7" s="4"/>
      <c r="BBP7" s="4"/>
      <c r="BBQ7" s="4"/>
      <c r="BBR7" s="4"/>
      <c r="BBS7" s="4"/>
      <c r="BBT7" s="4"/>
      <c r="BBU7" s="4"/>
      <c r="BBV7" s="4"/>
      <c r="BBW7" s="4"/>
      <c r="BBX7" s="4"/>
      <c r="BBY7" s="4"/>
      <c r="BBZ7" s="4"/>
      <c r="BCA7" s="4"/>
      <c r="BCB7" s="4"/>
      <c r="BCC7" s="4"/>
      <c r="BCD7" s="4"/>
      <c r="BCE7" s="4"/>
      <c r="BCF7" s="4"/>
      <c r="BCG7" s="4"/>
      <c r="BCH7" s="4"/>
      <c r="BCI7" s="4"/>
      <c r="BCJ7" s="4"/>
      <c r="BCK7" s="4"/>
      <c r="BCL7" s="4"/>
      <c r="BCM7" s="4"/>
      <c r="BCN7" s="4"/>
      <c r="BCO7" s="4"/>
      <c r="BCP7" s="4"/>
      <c r="BCQ7" s="4"/>
      <c r="BCR7" s="4"/>
      <c r="BCS7" s="4"/>
      <c r="BCT7" s="4"/>
      <c r="BCU7" s="4"/>
      <c r="BCV7" s="4"/>
      <c r="BCW7" s="4"/>
      <c r="BCX7" s="4"/>
      <c r="BCY7" s="4"/>
      <c r="BCZ7" s="4"/>
      <c r="BDA7" s="4"/>
      <c r="BDB7" s="4"/>
      <c r="BDC7" s="4"/>
      <c r="BDD7" s="4"/>
      <c r="BDE7" s="4"/>
      <c r="BDF7" s="4"/>
      <c r="BDG7" s="4"/>
      <c r="BDH7" s="4"/>
      <c r="BDI7" s="4"/>
      <c r="BDJ7" s="4"/>
      <c r="BDK7" s="4"/>
      <c r="BDL7" s="4"/>
      <c r="BDM7" s="4"/>
      <c r="BDN7" s="4"/>
      <c r="BDO7" s="4"/>
      <c r="BDP7" s="4"/>
      <c r="BDQ7" s="4"/>
      <c r="BDR7" s="4"/>
      <c r="BDS7" s="4"/>
      <c r="BDT7" s="4"/>
      <c r="BDU7" s="4"/>
      <c r="BDV7" s="4"/>
      <c r="BDW7" s="4"/>
      <c r="BDX7" s="4"/>
      <c r="BDY7" s="4"/>
      <c r="BDZ7" s="4"/>
      <c r="BEA7" s="4"/>
      <c r="BEB7" s="4"/>
      <c r="BEC7" s="4"/>
      <c r="BED7" s="4"/>
      <c r="BEE7" s="4"/>
      <c r="BEF7" s="4"/>
      <c r="BEG7" s="4"/>
      <c r="BEH7" s="4"/>
      <c r="BEI7" s="4"/>
      <c r="BEJ7" s="4"/>
      <c r="BEK7" s="4"/>
      <c r="BEL7" s="4"/>
      <c r="BEM7" s="4"/>
      <c r="BEN7" s="4"/>
      <c r="BEO7" s="4"/>
      <c r="BEP7" s="4"/>
      <c r="BEQ7" s="4"/>
      <c r="BER7" s="4"/>
      <c r="BES7" s="4"/>
      <c r="BET7" s="4"/>
      <c r="BEU7" s="4"/>
      <c r="BEV7" s="4"/>
      <c r="BEW7" s="4"/>
      <c r="BEX7" s="4"/>
      <c r="BEY7" s="4"/>
      <c r="BEZ7" s="4"/>
      <c r="BFA7" s="4"/>
      <c r="BFB7" s="4"/>
      <c r="BFC7" s="4"/>
      <c r="BFD7" s="4"/>
      <c r="BFE7" s="4"/>
      <c r="BFF7" s="4"/>
      <c r="BFG7" s="4"/>
      <c r="BFH7" s="4"/>
      <c r="BFI7" s="4"/>
      <c r="BFJ7" s="4"/>
      <c r="BFK7" s="4"/>
      <c r="BFL7" s="4"/>
      <c r="BFM7" s="4"/>
      <c r="BFN7" s="4"/>
      <c r="BFO7" s="4"/>
      <c r="BFP7" s="4"/>
      <c r="BFQ7" s="4"/>
      <c r="BFR7" s="4"/>
      <c r="BFS7" s="4"/>
      <c r="BFT7" s="4"/>
      <c r="BFU7" s="4"/>
      <c r="BFV7" s="4"/>
      <c r="BFW7" s="4"/>
      <c r="BFX7" s="4"/>
      <c r="BFY7" s="4"/>
      <c r="BFZ7" s="4"/>
      <c r="BGA7" s="4"/>
      <c r="BGB7" s="4"/>
      <c r="BGC7" s="4"/>
      <c r="BGD7" s="4"/>
      <c r="BGE7" s="4"/>
      <c r="BGF7" s="4"/>
      <c r="BGG7" s="4"/>
      <c r="BGH7" s="4"/>
      <c r="BGI7" s="4"/>
      <c r="BGJ7" s="4"/>
      <c r="BGK7" s="4"/>
      <c r="BGL7" s="4"/>
      <c r="BGM7" s="4"/>
      <c r="BGN7" s="4"/>
      <c r="BGO7" s="4"/>
      <c r="BGP7" s="4"/>
      <c r="BGQ7" s="4"/>
      <c r="BGR7" s="4"/>
      <c r="BGS7" s="4"/>
      <c r="BGT7" s="4"/>
      <c r="BGU7" s="4"/>
      <c r="BGV7" s="4"/>
      <c r="BGW7" s="4"/>
      <c r="BGX7" s="4"/>
      <c r="BGY7" s="4"/>
      <c r="BGZ7" s="4"/>
      <c r="BHA7" s="4"/>
      <c r="BHB7" s="4"/>
      <c r="BHC7" s="4"/>
      <c r="BHD7" s="4"/>
      <c r="BHE7" s="4"/>
      <c r="BHF7" s="4"/>
      <c r="BHG7" s="4"/>
      <c r="BHH7" s="4"/>
      <c r="BHI7" s="4"/>
      <c r="BHJ7" s="4"/>
      <c r="BHK7" s="4"/>
      <c r="BHL7" s="4"/>
      <c r="BHM7" s="4"/>
      <c r="BHN7" s="4"/>
      <c r="BHO7" s="4"/>
      <c r="BHP7" s="4"/>
      <c r="BHQ7" s="4"/>
      <c r="BHR7" s="4"/>
      <c r="BHS7" s="4"/>
      <c r="BHT7" s="4"/>
      <c r="BHU7" s="4"/>
      <c r="BHV7" s="4"/>
      <c r="BHW7" s="4"/>
      <c r="BHX7" s="4"/>
      <c r="BHY7" s="4"/>
      <c r="BHZ7" s="4"/>
      <c r="BIA7" s="4"/>
      <c r="BIB7" s="4"/>
      <c r="BIC7" s="4"/>
      <c r="BID7" s="4"/>
      <c r="BIE7" s="4"/>
      <c r="BIF7" s="4"/>
      <c r="BIG7" s="4"/>
      <c r="BIH7" s="4"/>
      <c r="BII7" s="4"/>
      <c r="BIJ7" s="4"/>
      <c r="BIK7" s="4"/>
      <c r="BIL7" s="4"/>
      <c r="BIM7" s="4"/>
      <c r="BIN7" s="4"/>
      <c r="BIO7" s="4"/>
      <c r="BIP7" s="4"/>
      <c r="BIQ7" s="4"/>
      <c r="BIR7" s="4"/>
      <c r="BIS7" s="4"/>
      <c r="BIT7" s="4"/>
      <c r="BIU7" s="4"/>
      <c r="BIV7" s="4"/>
      <c r="BIW7" s="4"/>
      <c r="BIX7" s="4"/>
      <c r="BIY7" s="4"/>
      <c r="BIZ7" s="4"/>
      <c r="BJA7" s="4"/>
      <c r="BJB7" s="4"/>
      <c r="BJC7" s="4"/>
      <c r="BJD7" s="4"/>
      <c r="BJE7" s="4"/>
      <c r="BJF7" s="4"/>
      <c r="BJG7" s="4"/>
      <c r="BJH7" s="4"/>
      <c r="BJI7" s="4"/>
      <c r="BJJ7" s="4"/>
      <c r="BJK7" s="4"/>
      <c r="BJL7" s="4"/>
      <c r="BJM7" s="4"/>
      <c r="BJN7" s="4"/>
      <c r="BJO7" s="4"/>
      <c r="BJP7" s="4"/>
      <c r="BJQ7" s="4"/>
      <c r="BJR7" s="4"/>
      <c r="BJS7" s="4"/>
      <c r="BJT7" s="4"/>
      <c r="BJU7" s="4"/>
      <c r="BJV7" s="4"/>
      <c r="BJW7" s="4"/>
      <c r="BJX7" s="4"/>
      <c r="BJY7" s="4"/>
      <c r="BJZ7" s="4"/>
      <c r="BKA7" s="4"/>
      <c r="BKB7" s="4"/>
      <c r="BKC7" s="4"/>
      <c r="BKD7" s="4"/>
      <c r="BKE7" s="4"/>
      <c r="BKF7" s="4"/>
      <c r="BKG7" s="4"/>
      <c r="BKH7" s="4"/>
      <c r="BKI7" s="4"/>
      <c r="BKJ7" s="4"/>
      <c r="BKK7" s="4"/>
      <c r="BKL7" s="4"/>
      <c r="BKM7" s="4"/>
      <c r="BKN7" s="4"/>
      <c r="BKO7" s="4"/>
      <c r="BKP7" s="4"/>
      <c r="BKQ7" s="4"/>
      <c r="BKR7" s="4"/>
      <c r="BKS7" s="4"/>
      <c r="BKT7" s="4"/>
      <c r="BKU7" s="4"/>
      <c r="BKV7" s="4"/>
      <c r="BKW7" s="4"/>
      <c r="BKX7" s="4"/>
      <c r="BKY7" s="4"/>
      <c r="BKZ7" s="4"/>
      <c r="BLA7" s="4"/>
      <c r="BLB7" s="4"/>
      <c r="BLC7" s="4"/>
      <c r="BLD7" s="4"/>
      <c r="BLE7" s="4"/>
      <c r="BLF7" s="4"/>
      <c r="BLG7" s="4"/>
      <c r="BLH7" s="4"/>
      <c r="BLI7" s="4"/>
      <c r="BLJ7" s="4"/>
      <c r="BLK7" s="4"/>
      <c r="BLL7" s="4"/>
      <c r="BLM7" s="4"/>
      <c r="BLN7" s="4"/>
      <c r="BLO7" s="4"/>
      <c r="BLP7" s="4"/>
      <c r="BLQ7" s="4"/>
      <c r="BLR7" s="4"/>
      <c r="BLS7" s="4"/>
      <c r="BLT7" s="4"/>
      <c r="BLU7" s="4"/>
      <c r="BLV7" s="4"/>
      <c r="BLW7" s="4"/>
      <c r="BLX7" s="4"/>
      <c r="BLY7" s="4"/>
      <c r="BLZ7" s="4"/>
      <c r="BMA7" s="4"/>
      <c r="BMB7" s="4"/>
      <c r="BMC7" s="4"/>
      <c r="BMD7" s="4"/>
      <c r="BME7" s="4"/>
      <c r="BMF7" s="4"/>
      <c r="BMG7" s="4"/>
      <c r="BMH7" s="4"/>
      <c r="BMI7" s="4"/>
      <c r="BMJ7" s="4"/>
      <c r="BMK7" s="4"/>
      <c r="BML7" s="4"/>
      <c r="BMM7" s="4"/>
      <c r="BMN7" s="4"/>
      <c r="BMO7" s="4"/>
      <c r="BMP7" s="4"/>
      <c r="BMQ7" s="4"/>
      <c r="BMR7" s="4"/>
      <c r="BMS7" s="4"/>
      <c r="BMT7" s="4"/>
      <c r="BMU7" s="4"/>
      <c r="BMV7" s="4"/>
      <c r="BMW7" s="4"/>
      <c r="BMX7" s="4"/>
      <c r="BMY7" s="4"/>
      <c r="BMZ7" s="4"/>
      <c r="BNA7" s="4"/>
      <c r="BNB7" s="4"/>
      <c r="BNC7" s="4"/>
      <c r="BND7" s="4"/>
      <c r="BNE7" s="4"/>
      <c r="BNF7" s="4"/>
      <c r="BNG7" s="4"/>
      <c r="BNH7" s="4"/>
      <c r="BNI7" s="4"/>
      <c r="BNJ7" s="4"/>
      <c r="BNK7" s="4"/>
      <c r="BNL7" s="4"/>
      <c r="BNM7" s="4"/>
      <c r="BNN7" s="4"/>
      <c r="BNO7" s="4"/>
      <c r="BNP7" s="4"/>
      <c r="BNQ7" s="4"/>
      <c r="BNR7" s="4"/>
      <c r="BNS7" s="4"/>
      <c r="BNT7" s="4"/>
      <c r="BNU7" s="4"/>
      <c r="BNV7" s="4"/>
      <c r="BNW7" s="4"/>
      <c r="BNX7" s="4"/>
      <c r="BNY7" s="4"/>
      <c r="BNZ7" s="4"/>
      <c r="BOA7" s="4"/>
      <c r="BOB7" s="4"/>
      <c r="BOC7" s="4"/>
      <c r="BOD7" s="4"/>
      <c r="BOE7" s="4"/>
      <c r="BOF7" s="4"/>
      <c r="BOG7" s="4"/>
      <c r="BOH7" s="4"/>
      <c r="BOI7" s="4"/>
      <c r="BOJ7" s="4"/>
      <c r="BOK7" s="4"/>
      <c r="BOL7" s="4"/>
      <c r="BOM7" s="4"/>
      <c r="BON7" s="4"/>
      <c r="BOO7" s="4"/>
      <c r="BOP7" s="4"/>
      <c r="BOQ7" s="4"/>
      <c r="BOR7" s="4"/>
      <c r="BOS7" s="4"/>
      <c r="BOT7" s="4"/>
      <c r="BOU7" s="4"/>
      <c r="BOV7" s="4"/>
      <c r="BOW7" s="4"/>
      <c r="BOX7" s="4"/>
      <c r="BOY7" s="4"/>
      <c r="BOZ7" s="4"/>
      <c r="BPA7" s="4"/>
      <c r="BPB7" s="4"/>
      <c r="BPC7" s="4"/>
      <c r="BPD7" s="4"/>
      <c r="BPE7" s="4"/>
      <c r="BPF7" s="4"/>
      <c r="BPG7" s="4"/>
      <c r="BPH7" s="4"/>
      <c r="BPI7" s="4"/>
      <c r="BPJ7" s="4"/>
      <c r="BPK7" s="4"/>
      <c r="BPL7" s="4"/>
      <c r="BPM7" s="4"/>
      <c r="BPN7" s="4"/>
      <c r="BPO7" s="4"/>
      <c r="BPP7" s="4"/>
      <c r="BPQ7" s="4"/>
      <c r="BPR7" s="4"/>
      <c r="BPS7" s="4"/>
      <c r="BPT7" s="4"/>
      <c r="BPU7" s="4"/>
      <c r="BPV7" s="4"/>
      <c r="BPW7" s="4"/>
      <c r="BPX7" s="4"/>
      <c r="BPY7" s="4"/>
      <c r="BPZ7" s="4"/>
      <c r="BQA7" s="4"/>
      <c r="BQB7" s="4"/>
      <c r="BQC7" s="4"/>
      <c r="BQD7" s="4"/>
      <c r="BQE7" s="4"/>
      <c r="BQF7" s="4"/>
      <c r="BQG7" s="4"/>
      <c r="BQH7" s="4"/>
      <c r="BQI7" s="4"/>
      <c r="BQJ7" s="4"/>
      <c r="BQK7" s="4"/>
      <c r="BQL7" s="4"/>
      <c r="BQM7" s="4"/>
      <c r="BQN7" s="4"/>
      <c r="BQO7" s="4"/>
      <c r="BQP7" s="4"/>
      <c r="BQQ7" s="4"/>
      <c r="BQR7" s="4"/>
      <c r="BQS7" s="4"/>
      <c r="BQT7" s="4"/>
      <c r="BQU7" s="4"/>
      <c r="BQV7" s="4"/>
      <c r="BQW7" s="4"/>
      <c r="BQX7" s="4"/>
      <c r="BQY7" s="4"/>
      <c r="BQZ7" s="4"/>
      <c r="BRA7" s="4"/>
      <c r="BRB7" s="4"/>
      <c r="BRC7" s="4"/>
      <c r="BRD7" s="4"/>
      <c r="BRE7" s="4"/>
      <c r="BRF7" s="4"/>
      <c r="BRG7" s="4"/>
      <c r="BRH7" s="4"/>
      <c r="BRI7" s="4"/>
      <c r="BRJ7" s="4"/>
      <c r="BRK7" s="4"/>
      <c r="BRL7" s="4"/>
      <c r="BRM7" s="4"/>
      <c r="BRN7" s="4"/>
      <c r="BRO7" s="4"/>
      <c r="BRP7" s="4"/>
      <c r="BRQ7" s="4"/>
      <c r="BRR7" s="4"/>
      <c r="BRS7" s="4"/>
      <c r="BRT7" s="4"/>
      <c r="BRU7" s="4"/>
      <c r="BRV7" s="4"/>
      <c r="BRW7" s="4"/>
      <c r="BRX7" s="4"/>
      <c r="BRY7" s="4"/>
      <c r="BRZ7" s="4"/>
      <c r="BSA7" s="4"/>
      <c r="BSB7" s="4"/>
      <c r="BSC7" s="4"/>
      <c r="BSD7" s="4"/>
      <c r="BSE7" s="4"/>
      <c r="BSF7" s="4"/>
      <c r="BSG7" s="4"/>
      <c r="BSH7" s="4"/>
      <c r="BSI7" s="4"/>
      <c r="BSJ7" s="4"/>
      <c r="BSK7" s="4"/>
      <c r="BSL7" s="4"/>
      <c r="BSM7" s="4"/>
      <c r="BSN7" s="4"/>
      <c r="BSO7" s="4"/>
      <c r="BSP7" s="4"/>
      <c r="BSQ7" s="4"/>
      <c r="BSR7" s="4"/>
      <c r="BSS7" s="4"/>
      <c r="BST7" s="4"/>
      <c r="BSU7" s="4"/>
      <c r="BSV7" s="4"/>
      <c r="BSW7" s="4"/>
      <c r="BSX7" s="4"/>
      <c r="BSY7" s="4"/>
      <c r="BSZ7" s="4"/>
      <c r="BTA7" s="4"/>
      <c r="BTB7" s="4"/>
      <c r="BTC7" s="4"/>
      <c r="BTD7" s="4"/>
      <c r="BTE7" s="4"/>
      <c r="BTF7" s="4"/>
      <c r="BTG7" s="4"/>
      <c r="BTH7" s="4"/>
      <c r="BTI7" s="4"/>
      <c r="BTJ7" s="4"/>
      <c r="BTK7" s="4"/>
      <c r="BTL7" s="4"/>
      <c r="BTM7" s="4"/>
      <c r="BTN7" s="4"/>
      <c r="BTO7" s="4"/>
      <c r="BTP7" s="4"/>
      <c r="BTQ7" s="4"/>
      <c r="BTR7" s="4"/>
      <c r="BTS7" s="4"/>
      <c r="BTT7" s="4"/>
      <c r="BTU7" s="4"/>
      <c r="BTV7" s="4"/>
      <c r="BTW7" s="4"/>
      <c r="BTX7" s="4"/>
      <c r="BTY7" s="4"/>
      <c r="BTZ7" s="4"/>
      <c r="BUA7" s="4"/>
      <c r="BUB7" s="4"/>
      <c r="BUC7" s="4"/>
      <c r="BUD7" s="4"/>
      <c r="BUE7" s="4"/>
      <c r="BUF7" s="4"/>
      <c r="BUG7" s="4"/>
      <c r="BUH7" s="4"/>
      <c r="BUI7" s="4"/>
      <c r="BUJ7" s="4"/>
      <c r="BUK7" s="4"/>
      <c r="BUL7" s="4"/>
      <c r="BUM7" s="4"/>
      <c r="BUN7" s="4"/>
      <c r="BUO7" s="4"/>
      <c r="BUP7" s="4"/>
      <c r="BUQ7" s="4"/>
      <c r="BUR7" s="4"/>
      <c r="BUS7" s="4"/>
      <c r="BUT7" s="4"/>
      <c r="BUU7" s="4"/>
      <c r="BUV7" s="4"/>
      <c r="BUW7" s="4"/>
      <c r="BUX7" s="4"/>
      <c r="BUY7" s="4"/>
      <c r="BUZ7" s="4"/>
      <c r="BVA7" s="4"/>
      <c r="BVB7" s="4"/>
      <c r="BVC7" s="4"/>
      <c r="BVD7" s="4"/>
      <c r="BVE7" s="4"/>
      <c r="BVF7" s="4"/>
      <c r="BVG7" s="4"/>
      <c r="BVH7" s="4"/>
      <c r="BVI7" s="4"/>
      <c r="BVJ7" s="4"/>
      <c r="BVK7" s="4"/>
      <c r="BVL7" s="4"/>
      <c r="BVM7" s="4"/>
      <c r="BVN7" s="4"/>
      <c r="BVO7" s="4"/>
      <c r="BVP7" s="4"/>
      <c r="BVQ7" s="4"/>
      <c r="BVR7" s="4"/>
      <c r="BVS7" s="4"/>
      <c r="BVT7" s="4"/>
      <c r="BVU7" s="4"/>
      <c r="BVV7" s="4"/>
      <c r="BVW7" s="4"/>
      <c r="BVX7" s="4"/>
      <c r="BVY7" s="4"/>
      <c r="BVZ7" s="4"/>
      <c r="BWA7" s="4"/>
      <c r="BWB7" s="4"/>
      <c r="BWC7" s="4"/>
      <c r="BWD7" s="4"/>
      <c r="BWE7" s="4"/>
      <c r="BWF7" s="4"/>
      <c r="BWG7" s="4"/>
      <c r="BWH7" s="4"/>
      <c r="BWI7" s="4"/>
      <c r="BWJ7" s="4"/>
      <c r="BWK7" s="4"/>
      <c r="BWL7" s="4"/>
      <c r="BWM7" s="4"/>
      <c r="BWN7" s="4"/>
      <c r="BWO7" s="4"/>
      <c r="BWP7" s="4"/>
      <c r="BWQ7" s="4"/>
      <c r="BWR7" s="4"/>
      <c r="BWS7" s="4"/>
      <c r="BWT7" s="4"/>
      <c r="BWU7" s="4"/>
      <c r="BWV7" s="4"/>
      <c r="BWW7" s="4"/>
      <c r="BWX7" s="4"/>
      <c r="BWY7" s="4"/>
      <c r="BWZ7" s="4"/>
      <c r="BXA7" s="4"/>
      <c r="BXB7" s="4"/>
      <c r="BXC7" s="4"/>
      <c r="BXD7" s="4"/>
      <c r="BXE7" s="4"/>
      <c r="BXF7" s="4"/>
      <c r="BXG7" s="4"/>
      <c r="BXH7" s="4"/>
      <c r="BXI7" s="4"/>
      <c r="BXJ7" s="4"/>
      <c r="BXK7" s="4"/>
      <c r="BXL7" s="4"/>
      <c r="BXM7" s="4"/>
      <c r="BXN7" s="4"/>
      <c r="BXO7" s="4"/>
      <c r="BXP7" s="4"/>
      <c r="BXQ7" s="4"/>
      <c r="BXR7" s="4"/>
      <c r="BXS7" s="4"/>
      <c r="BXT7" s="4"/>
      <c r="BXU7" s="4"/>
      <c r="BXV7" s="4"/>
      <c r="BXW7" s="4"/>
      <c r="BXX7" s="4"/>
      <c r="BXY7" s="4"/>
      <c r="BXZ7" s="4"/>
      <c r="BYA7" s="4"/>
      <c r="BYB7" s="4"/>
      <c r="BYC7" s="4"/>
      <c r="BYD7" s="4"/>
      <c r="BYE7" s="4"/>
      <c r="BYF7" s="4"/>
      <c r="BYG7" s="4"/>
      <c r="BYH7" s="4"/>
      <c r="BYI7" s="4"/>
      <c r="BYJ7" s="4"/>
      <c r="BYK7" s="4"/>
      <c r="BYL7" s="4"/>
      <c r="BYM7" s="4"/>
      <c r="BYN7" s="4"/>
      <c r="BYO7" s="4"/>
      <c r="BYP7" s="4"/>
      <c r="BYQ7" s="4"/>
      <c r="BYR7" s="4"/>
      <c r="BYS7" s="4"/>
      <c r="BYT7" s="4"/>
      <c r="BYU7" s="4"/>
      <c r="BYV7" s="4"/>
      <c r="BYW7" s="4"/>
      <c r="BYX7" s="4"/>
      <c r="BYY7" s="4"/>
      <c r="BYZ7" s="4"/>
      <c r="BZA7" s="4"/>
      <c r="BZB7" s="4"/>
      <c r="BZC7" s="4"/>
      <c r="BZD7" s="4"/>
      <c r="BZE7" s="4"/>
      <c r="BZF7" s="4"/>
      <c r="BZG7" s="4"/>
      <c r="BZH7" s="4"/>
      <c r="BZI7" s="4"/>
      <c r="BZJ7" s="4"/>
      <c r="BZK7" s="4"/>
      <c r="BZL7" s="4"/>
      <c r="BZM7" s="4"/>
      <c r="BZN7" s="4"/>
      <c r="BZO7" s="4"/>
      <c r="BZP7" s="4"/>
      <c r="BZQ7" s="4"/>
      <c r="BZR7" s="4"/>
      <c r="BZS7" s="4"/>
      <c r="BZT7" s="4"/>
      <c r="BZU7" s="5"/>
    </row>
    <row r="8" spans="1:2049" s="3" customFormat="1" outlineLevel="1" x14ac:dyDescent="0.3">
      <c r="A8" s="32" t="s">
        <v>170</v>
      </c>
      <c r="B8" s="6"/>
      <c r="C8" s="6" t="s">
        <v>1</v>
      </c>
      <c r="D8" s="6" t="s">
        <v>2</v>
      </c>
      <c r="E8" s="6" t="s">
        <v>3</v>
      </c>
      <c r="F8" s="6" t="s">
        <v>4</v>
      </c>
      <c r="G8" s="6" t="s">
        <v>5</v>
      </c>
      <c r="H8" s="6" t="s">
        <v>6</v>
      </c>
      <c r="I8" s="6" t="s">
        <v>7</v>
      </c>
      <c r="J8" s="6" t="s">
        <v>8</v>
      </c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 t="s">
        <v>56</v>
      </c>
      <c r="BD8" s="6" t="s">
        <v>57</v>
      </c>
      <c r="BE8" s="6" t="s">
        <v>58</v>
      </c>
      <c r="BF8" s="6" t="s">
        <v>59</v>
      </c>
      <c r="BG8" s="6" t="s">
        <v>60</v>
      </c>
      <c r="BH8" s="6" t="s">
        <v>61</v>
      </c>
      <c r="BI8" s="6" t="s">
        <v>62</v>
      </c>
      <c r="BJ8" s="6" t="s">
        <v>63</v>
      </c>
      <c r="BK8" s="6" t="s">
        <v>64</v>
      </c>
      <c r="BL8" s="6" t="s">
        <v>65</v>
      </c>
      <c r="BM8" s="6" t="s">
        <v>66</v>
      </c>
      <c r="BN8" s="6" t="s">
        <v>67</v>
      </c>
      <c r="BO8" s="6" t="s">
        <v>68</v>
      </c>
      <c r="BP8" s="6" t="s">
        <v>69</v>
      </c>
      <c r="BQ8" s="6" t="s">
        <v>70</v>
      </c>
      <c r="BR8" s="6" t="s">
        <v>71</v>
      </c>
      <c r="BS8" s="6" t="s">
        <v>72</v>
      </c>
      <c r="BT8" s="6" t="s">
        <v>73</v>
      </c>
      <c r="BU8" s="6" t="s">
        <v>74</v>
      </c>
      <c r="BV8" s="6" t="s">
        <v>75</v>
      </c>
      <c r="BW8" s="6" t="s">
        <v>56</v>
      </c>
      <c r="BX8" s="6" t="s">
        <v>57</v>
      </c>
      <c r="BY8" s="6" t="s">
        <v>58</v>
      </c>
      <c r="BZ8" s="6" t="s">
        <v>59</v>
      </c>
      <c r="CA8" s="6" t="s">
        <v>60</v>
      </c>
      <c r="CB8" s="6" t="s">
        <v>61</v>
      </c>
      <c r="CC8" s="6" t="s">
        <v>62</v>
      </c>
      <c r="CD8" s="6" t="s">
        <v>63</v>
      </c>
      <c r="CE8" s="6" t="s">
        <v>64</v>
      </c>
      <c r="CF8" s="6" t="s">
        <v>65</v>
      </c>
      <c r="CG8" s="6" t="s">
        <v>66</v>
      </c>
      <c r="CH8" s="6" t="s">
        <v>67</v>
      </c>
      <c r="CI8" s="6" t="s">
        <v>68</v>
      </c>
      <c r="CJ8" s="6" t="s">
        <v>69</v>
      </c>
      <c r="CK8" s="6" t="s">
        <v>70</v>
      </c>
      <c r="CL8" s="6" t="s">
        <v>71</v>
      </c>
      <c r="CM8" s="6" t="s">
        <v>72</v>
      </c>
      <c r="CN8" s="6" t="s">
        <v>73</v>
      </c>
      <c r="CO8" s="6" t="s">
        <v>74</v>
      </c>
      <c r="CP8" s="6" t="s">
        <v>75</v>
      </c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  <c r="DI8" s="6"/>
      <c r="DJ8" s="6"/>
      <c r="DK8" s="6"/>
      <c r="DL8" s="6"/>
      <c r="DM8" s="6"/>
      <c r="DN8" s="6"/>
      <c r="DO8" s="6"/>
      <c r="DP8" s="6"/>
      <c r="DQ8" s="6"/>
      <c r="DR8" s="6"/>
      <c r="DS8" s="6"/>
      <c r="DT8" s="6"/>
      <c r="DU8" s="6"/>
      <c r="DV8" s="6"/>
      <c r="DW8" s="6"/>
      <c r="DX8" s="6"/>
      <c r="DY8" s="6"/>
      <c r="DZ8" s="6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6"/>
      <c r="FA8" s="6"/>
      <c r="FB8" s="6"/>
      <c r="FC8" s="6"/>
      <c r="FD8" s="6"/>
      <c r="FE8" s="6"/>
      <c r="FF8" s="6"/>
      <c r="FG8" s="6"/>
      <c r="FH8" s="6"/>
      <c r="FI8" s="6"/>
      <c r="FJ8" s="6"/>
      <c r="FK8" s="6"/>
      <c r="FL8" s="6"/>
      <c r="FM8" s="6"/>
      <c r="FN8" s="6"/>
      <c r="FO8" s="6"/>
      <c r="FP8" s="6"/>
      <c r="FQ8" s="6" t="s">
        <v>105</v>
      </c>
      <c r="FR8" s="6"/>
      <c r="FS8" s="6" t="s">
        <v>106</v>
      </c>
      <c r="FT8" s="6"/>
      <c r="FU8" s="6" t="s">
        <v>107</v>
      </c>
      <c r="FV8" s="6" t="s">
        <v>108</v>
      </c>
      <c r="FW8" s="6" t="s">
        <v>109</v>
      </c>
      <c r="FX8" s="6" t="s">
        <v>110</v>
      </c>
      <c r="FY8" s="6" t="s">
        <v>111</v>
      </c>
      <c r="FZ8" s="6" t="s">
        <v>112</v>
      </c>
      <c r="GA8" s="6" t="s">
        <v>113</v>
      </c>
      <c r="GB8" s="6" t="s">
        <v>114</v>
      </c>
      <c r="GC8" s="6" t="s">
        <v>115</v>
      </c>
      <c r="GD8" s="6" t="s">
        <v>116</v>
      </c>
      <c r="GE8" s="6" t="s">
        <v>117</v>
      </c>
      <c r="GF8" s="6" t="s">
        <v>118</v>
      </c>
      <c r="GG8" s="6" t="s">
        <v>119</v>
      </c>
      <c r="GH8" s="6" t="s">
        <v>120</v>
      </c>
      <c r="GI8" s="6" t="s">
        <v>121</v>
      </c>
      <c r="GJ8" s="6" t="s">
        <v>122</v>
      </c>
      <c r="GK8" s="6" t="s">
        <v>123</v>
      </c>
      <c r="GL8" s="6" t="s">
        <v>124</v>
      </c>
      <c r="GM8" s="6" t="s">
        <v>125</v>
      </c>
      <c r="GN8" s="6" t="s">
        <v>126</v>
      </c>
      <c r="GO8" s="6" t="s">
        <v>127</v>
      </c>
      <c r="GP8" s="6" t="s">
        <v>128</v>
      </c>
      <c r="GQ8" s="6" t="s">
        <v>129</v>
      </c>
      <c r="GR8" s="6" t="s">
        <v>130</v>
      </c>
      <c r="GS8" s="6" t="s">
        <v>131</v>
      </c>
      <c r="GT8" s="6" t="s">
        <v>132</v>
      </c>
      <c r="GU8" s="6" t="s">
        <v>133</v>
      </c>
      <c r="GV8" s="6" t="s">
        <v>134</v>
      </c>
      <c r="GW8" s="6" t="s">
        <v>135</v>
      </c>
      <c r="GX8" s="6" t="s">
        <v>136</v>
      </c>
      <c r="GY8" s="6" t="s">
        <v>105</v>
      </c>
      <c r="GZ8" s="6"/>
      <c r="HA8" s="6" t="s">
        <v>106</v>
      </c>
      <c r="HB8" s="6"/>
      <c r="HC8" s="6" t="s">
        <v>107</v>
      </c>
      <c r="HD8" s="6" t="s">
        <v>108</v>
      </c>
      <c r="HE8" s="6" t="s">
        <v>109</v>
      </c>
      <c r="HF8" s="6" t="s">
        <v>110</v>
      </c>
      <c r="HG8" s="6" t="s">
        <v>111</v>
      </c>
      <c r="HH8" s="6" t="s">
        <v>112</v>
      </c>
      <c r="HI8" s="6" t="s">
        <v>113</v>
      </c>
      <c r="HJ8" s="6" t="s">
        <v>114</v>
      </c>
      <c r="HK8" s="6" t="s">
        <v>115</v>
      </c>
      <c r="HL8" s="6" t="s">
        <v>116</v>
      </c>
      <c r="HM8" s="6" t="s">
        <v>117</v>
      </c>
      <c r="HN8" s="6" t="s">
        <v>118</v>
      </c>
      <c r="HO8" s="6" t="s">
        <v>119</v>
      </c>
      <c r="HP8" s="6" t="s">
        <v>120</v>
      </c>
      <c r="HQ8" s="6" t="s">
        <v>121</v>
      </c>
      <c r="HR8" s="6" t="s">
        <v>122</v>
      </c>
      <c r="HS8" s="6" t="s">
        <v>123</v>
      </c>
      <c r="HT8" s="6" t="s">
        <v>124</v>
      </c>
      <c r="HU8" s="6" t="s">
        <v>125</v>
      </c>
      <c r="HV8" s="6" t="s">
        <v>126</v>
      </c>
      <c r="HW8" s="6" t="s">
        <v>127</v>
      </c>
      <c r="HX8" s="6" t="s">
        <v>128</v>
      </c>
      <c r="HY8" s="6" t="s">
        <v>129</v>
      </c>
      <c r="HZ8" s="6" t="s">
        <v>130</v>
      </c>
      <c r="IA8" s="6" t="s">
        <v>131</v>
      </c>
      <c r="IB8" s="6" t="s">
        <v>132</v>
      </c>
      <c r="IC8" s="6" t="s">
        <v>133</v>
      </c>
      <c r="ID8" s="6" t="s">
        <v>134</v>
      </c>
      <c r="IE8" s="6" t="s">
        <v>135</v>
      </c>
      <c r="IF8" s="6" t="s">
        <v>136</v>
      </c>
      <c r="IG8" s="6" t="s">
        <v>105</v>
      </c>
      <c r="IH8" s="6"/>
      <c r="II8" s="6" t="s">
        <v>106</v>
      </c>
      <c r="IJ8" s="6"/>
      <c r="IK8" s="6" t="s">
        <v>107</v>
      </c>
      <c r="IL8" s="6" t="s">
        <v>108</v>
      </c>
      <c r="IM8" s="6" t="s">
        <v>109</v>
      </c>
      <c r="IN8" s="6" t="s">
        <v>110</v>
      </c>
      <c r="IO8" s="6" t="s">
        <v>111</v>
      </c>
      <c r="IP8" s="6" t="s">
        <v>112</v>
      </c>
      <c r="IQ8" s="6" t="s">
        <v>113</v>
      </c>
      <c r="IR8" s="6" t="s">
        <v>114</v>
      </c>
      <c r="IS8" s="6" t="s">
        <v>115</v>
      </c>
      <c r="IT8" s="6" t="s">
        <v>116</v>
      </c>
      <c r="IU8" s="6" t="s">
        <v>117</v>
      </c>
      <c r="IV8" s="6" t="s">
        <v>118</v>
      </c>
      <c r="IW8" s="6" t="s">
        <v>119</v>
      </c>
      <c r="IX8" s="6" t="s">
        <v>120</v>
      </c>
      <c r="IY8" s="6" t="s">
        <v>121</v>
      </c>
      <c r="IZ8" s="6" t="s">
        <v>122</v>
      </c>
      <c r="JA8" s="6" t="s">
        <v>123</v>
      </c>
      <c r="JB8" s="6" t="s">
        <v>124</v>
      </c>
      <c r="JC8" s="6" t="s">
        <v>125</v>
      </c>
      <c r="JD8" s="6" t="s">
        <v>126</v>
      </c>
      <c r="JE8" s="6" t="s">
        <v>127</v>
      </c>
      <c r="JF8" s="6" t="s">
        <v>128</v>
      </c>
      <c r="JG8" s="6" t="s">
        <v>129</v>
      </c>
      <c r="JH8" s="6" t="s">
        <v>130</v>
      </c>
      <c r="JI8" s="6" t="s">
        <v>131</v>
      </c>
      <c r="JJ8" s="6" t="s">
        <v>132</v>
      </c>
      <c r="JK8" s="6" t="s">
        <v>133</v>
      </c>
      <c r="JL8" s="6" t="s">
        <v>134</v>
      </c>
      <c r="JM8" s="6" t="s">
        <v>135</v>
      </c>
      <c r="JN8" s="6" t="s">
        <v>136</v>
      </c>
      <c r="JO8" s="6" t="s">
        <v>105</v>
      </c>
      <c r="JP8" s="6"/>
      <c r="JQ8" s="6" t="s">
        <v>106</v>
      </c>
      <c r="JR8" s="6"/>
      <c r="JS8" s="6" t="s">
        <v>107</v>
      </c>
      <c r="JT8" s="6" t="s">
        <v>108</v>
      </c>
      <c r="JU8" s="6" t="s">
        <v>109</v>
      </c>
      <c r="JV8" s="6" t="s">
        <v>110</v>
      </c>
      <c r="JW8" s="6" t="s">
        <v>111</v>
      </c>
      <c r="JX8" s="6" t="s">
        <v>112</v>
      </c>
      <c r="JY8" s="6" t="s">
        <v>113</v>
      </c>
      <c r="JZ8" s="6" t="s">
        <v>114</v>
      </c>
      <c r="KA8" s="6" t="s">
        <v>115</v>
      </c>
      <c r="KB8" s="6" t="s">
        <v>116</v>
      </c>
      <c r="KC8" s="6" t="s">
        <v>117</v>
      </c>
      <c r="KD8" s="6" t="s">
        <v>118</v>
      </c>
      <c r="KE8" s="6" t="s">
        <v>119</v>
      </c>
      <c r="KF8" s="6" t="s">
        <v>120</v>
      </c>
      <c r="KG8" s="6" t="s">
        <v>121</v>
      </c>
      <c r="KH8" s="6" t="s">
        <v>122</v>
      </c>
      <c r="KI8" s="6" t="s">
        <v>123</v>
      </c>
      <c r="KJ8" s="6" t="s">
        <v>124</v>
      </c>
      <c r="KK8" s="6" t="s">
        <v>125</v>
      </c>
      <c r="KL8" s="6" t="s">
        <v>126</v>
      </c>
      <c r="KM8" s="6" t="s">
        <v>127</v>
      </c>
      <c r="KN8" s="6" t="s">
        <v>128</v>
      </c>
      <c r="KO8" s="6" t="s">
        <v>129</v>
      </c>
      <c r="KP8" s="6" t="s">
        <v>130</v>
      </c>
      <c r="KQ8" s="6" t="s">
        <v>131</v>
      </c>
      <c r="KR8" s="6" t="s">
        <v>132</v>
      </c>
      <c r="KS8" s="6" t="s">
        <v>133</v>
      </c>
      <c r="KT8" s="6" t="s">
        <v>134</v>
      </c>
      <c r="KU8" s="6" t="s">
        <v>135</v>
      </c>
      <c r="KV8" s="6" t="s">
        <v>136</v>
      </c>
      <c r="KW8" s="6" t="s">
        <v>105</v>
      </c>
      <c r="KX8" s="6"/>
      <c r="KY8" s="6" t="s">
        <v>106</v>
      </c>
      <c r="KZ8" s="6"/>
      <c r="LA8" s="6" t="s">
        <v>107</v>
      </c>
      <c r="LB8" s="6" t="s">
        <v>108</v>
      </c>
      <c r="LC8" s="6" t="s">
        <v>109</v>
      </c>
      <c r="LD8" s="6" t="s">
        <v>110</v>
      </c>
      <c r="LE8" s="6" t="s">
        <v>111</v>
      </c>
      <c r="LF8" s="6" t="s">
        <v>112</v>
      </c>
      <c r="LG8" s="6" t="s">
        <v>113</v>
      </c>
      <c r="LH8" s="6" t="s">
        <v>114</v>
      </c>
      <c r="LI8" s="6" t="s">
        <v>115</v>
      </c>
      <c r="LJ8" s="6" t="s">
        <v>116</v>
      </c>
      <c r="LK8" s="6" t="s">
        <v>117</v>
      </c>
      <c r="LL8" s="6" t="s">
        <v>118</v>
      </c>
      <c r="LM8" s="6" t="s">
        <v>119</v>
      </c>
      <c r="LN8" s="6" t="s">
        <v>120</v>
      </c>
      <c r="LO8" s="6" t="s">
        <v>121</v>
      </c>
      <c r="LP8" s="6" t="s">
        <v>122</v>
      </c>
      <c r="LQ8" s="6" t="s">
        <v>123</v>
      </c>
      <c r="LR8" s="6" t="s">
        <v>124</v>
      </c>
      <c r="LS8" s="6" t="s">
        <v>125</v>
      </c>
      <c r="LT8" s="6" t="s">
        <v>126</v>
      </c>
      <c r="LU8" s="6" t="s">
        <v>127</v>
      </c>
      <c r="LV8" s="6" t="s">
        <v>128</v>
      </c>
      <c r="LW8" s="6" t="s">
        <v>129</v>
      </c>
      <c r="LX8" s="6" t="s">
        <v>130</v>
      </c>
      <c r="LY8" s="6" t="s">
        <v>131</v>
      </c>
      <c r="LZ8" s="6" t="s">
        <v>132</v>
      </c>
      <c r="MA8" s="6" t="s">
        <v>133</v>
      </c>
      <c r="MB8" s="6" t="s">
        <v>134</v>
      </c>
      <c r="MC8" s="6" t="s">
        <v>135</v>
      </c>
      <c r="MD8" s="6" t="s">
        <v>136</v>
      </c>
      <c r="ME8" s="6" t="s">
        <v>105</v>
      </c>
      <c r="MF8" s="6"/>
      <c r="MG8" s="6" t="s">
        <v>106</v>
      </c>
      <c r="MH8" s="6"/>
      <c r="MI8" s="6" t="s">
        <v>107</v>
      </c>
      <c r="MJ8" s="6" t="s">
        <v>108</v>
      </c>
      <c r="MK8" s="6" t="s">
        <v>109</v>
      </c>
      <c r="ML8" s="6" t="s">
        <v>110</v>
      </c>
      <c r="MM8" s="6" t="s">
        <v>111</v>
      </c>
      <c r="MN8" s="6" t="s">
        <v>112</v>
      </c>
      <c r="MO8" s="6" t="s">
        <v>113</v>
      </c>
      <c r="MP8" s="6" t="s">
        <v>114</v>
      </c>
      <c r="MQ8" s="6" t="s">
        <v>115</v>
      </c>
      <c r="MR8" s="6" t="s">
        <v>116</v>
      </c>
      <c r="MS8" s="6" t="s">
        <v>117</v>
      </c>
      <c r="MT8" s="6" t="s">
        <v>118</v>
      </c>
      <c r="MU8" s="6" t="s">
        <v>119</v>
      </c>
      <c r="MV8" s="6" t="s">
        <v>120</v>
      </c>
      <c r="MW8" s="6" t="s">
        <v>121</v>
      </c>
      <c r="MX8" s="6" t="s">
        <v>122</v>
      </c>
      <c r="MY8" s="6" t="s">
        <v>123</v>
      </c>
      <c r="MZ8" s="6" t="s">
        <v>124</v>
      </c>
      <c r="NA8" s="6" t="s">
        <v>125</v>
      </c>
      <c r="NB8" s="6" t="s">
        <v>126</v>
      </c>
      <c r="NC8" s="6" t="s">
        <v>127</v>
      </c>
      <c r="ND8" s="6" t="s">
        <v>128</v>
      </c>
      <c r="NE8" s="6" t="s">
        <v>129</v>
      </c>
      <c r="NF8" s="6" t="s">
        <v>130</v>
      </c>
      <c r="NG8" s="6" t="s">
        <v>131</v>
      </c>
      <c r="NH8" s="6" t="s">
        <v>132</v>
      </c>
      <c r="NI8" s="6" t="s">
        <v>133</v>
      </c>
      <c r="NJ8" s="6" t="s">
        <v>134</v>
      </c>
      <c r="NK8" s="6" t="s">
        <v>135</v>
      </c>
      <c r="NL8" s="6" t="s">
        <v>136</v>
      </c>
      <c r="NM8" s="6" t="s">
        <v>105</v>
      </c>
      <c r="NN8" s="6"/>
      <c r="NO8" s="6" t="s">
        <v>106</v>
      </c>
      <c r="NP8" s="6"/>
      <c r="NQ8" s="6" t="s">
        <v>107</v>
      </c>
      <c r="NR8" s="6" t="s">
        <v>108</v>
      </c>
      <c r="NS8" s="6" t="s">
        <v>109</v>
      </c>
      <c r="NT8" s="6" t="s">
        <v>110</v>
      </c>
      <c r="NU8" s="6" t="s">
        <v>111</v>
      </c>
      <c r="NV8" s="6" t="s">
        <v>112</v>
      </c>
      <c r="NW8" s="6" t="s">
        <v>113</v>
      </c>
      <c r="NX8" s="6" t="s">
        <v>114</v>
      </c>
      <c r="NY8" s="6" t="s">
        <v>115</v>
      </c>
      <c r="NZ8" s="6" t="s">
        <v>116</v>
      </c>
      <c r="OA8" s="6" t="s">
        <v>117</v>
      </c>
      <c r="OB8" s="6" t="s">
        <v>118</v>
      </c>
      <c r="OC8" s="6" t="s">
        <v>119</v>
      </c>
      <c r="OD8" s="6" t="s">
        <v>120</v>
      </c>
      <c r="OE8" s="6" t="s">
        <v>121</v>
      </c>
      <c r="OF8" s="6" t="s">
        <v>122</v>
      </c>
      <c r="OG8" s="6" t="s">
        <v>123</v>
      </c>
      <c r="OH8" s="6" t="s">
        <v>124</v>
      </c>
      <c r="OI8" s="6" t="s">
        <v>125</v>
      </c>
      <c r="OJ8" s="6" t="s">
        <v>126</v>
      </c>
      <c r="OK8" s="6" t="s">
        <v>127</v>
      </c>
      <c r="OL8" s="6" t="s">
        <v>128</v>
      </c>
      <c r="OM8" s="6" t="s">
        <v>129</v>
      </c>
      <c r="ON8" s="6" t="s">
        <v>130</v>
      </c>
      <c r="OO8" s="6" t="s">
        <v>131</v>
      </c>
      <c r="OP8" s="6" t="s">
        <v>132</v>
      </c>
      <c r="OQ8" s="6" t="s">
        <v>133</v>
      </c>
      <c r="OR8" s="6" t="s">
        <v>134</v>
      </c>
      <c r="OS8" s="6" t="s">
        <v>135</v>
      </c>
      <c r="OT8" s="6" t="s">
        <v>136</v>
      </c>
      <c r="OU8" s="6" t="s">
        <v>105</v>
      </c>
      <c r="OV8" s="6"/>
      <c r="OW8" s="6" t="s">
        <v>106</v>
      </c>
      <c r="OX8" s="6"/>
      <c r="OY8" s="6" t="s">
        <v>107</v>
      </c>
      <c r="OZ8" s="6" t="s">
        <v>108</v>
      </c>
      <c r="PA8" s="6" t="s">
        <v>109</v>
      </c>
      <c r="PB8" s="6" t="s">
        <v>110</v>
      </c>
      <c r="PC8" s="6" t="s">
        <v>111</v>
      </c>
      <c r="PD8" s="6" t="s">
        <v>112</v>
      </c>
      <c r="PE8" s="6" t="s">
        <v>113</v>
      </c>
      <c r="PF8" s="6" t="s">
        <v>114</v>
      </c>
      <c r="PG8" s="6" t="s">
        <v>115</v>
      </c>
      <c r="PH8" s="6" t="s">
        <v>116</v>
      </c>
      <c r="PI8" s="6" t="s">
        <v>117</v>
      </c>
      <c r="PJ8" s="6" t="s">
        <v>118</v>
      </c>
      <c r="PK8" s="6" t="s">
        <v>119</v>
      </c>
      <c r="PL8" s="6" t="s">
        <v>120</v>
      </c>
      <c r="PM8" s="6" t="s">
        <v>121</v>
      </c>
      <c r="PN8" s="6" t="s">
        <v>122</v>
      </c>
      <c r="PO8" s="6" t="s">
        <v>123</v>
      </c>
      <c r="PP8" s="6" t="s">
        <v>124</v>
      </c>
      <c r="PQ8" s="6" t="s">
        <v>125</v>
      </c>
      <c r="PR8" s="6" t="s">
        <v>126</v>
      </c>
      <c r="PS8" s="6" t="s">
        <v>127</v>
      </c>
      <c r="PT8" s="6" t="s">
        <v>128</v>
      </c>
      <c r="PU8" s="6" t="s">
        <v>129</v>
      </c>
      <c r="PV8" s="6" t="s">
        <v>130</v>
      </c>
      <c r="PW8" s="6" t="s">
        <v>131</v>
      </c>
      <c r="PX8" s="6" t="s">
        <v>132</v>
      </c>
      <c r="PY8" s="6" t="s">
        <v>133</v>
      </c>
      <c r="PZ8" s="6" t="s">
        <v>134</v>
      </c>
      <c r="QA8" s="6" t="s">
        <v>135</v>
      </c>
      <c r="QB8" s="6" t="s">
        <v>136</v>
      </c>
      <c r="QC8" s="6" t="s">
        <v>145</v>
      </c>
      <c r="QD8" s="6" t="s">
        <v>146</v>
      </c>
      <c r="QE8" s="6" t="s">
        <v>147</v>
      </c>
      <c r="QF8" s="6" t="s">
        <v>148</v>
      </c>
      <c r="QG8" s="6" t="s">
        <v>149</v>
      </c>
      <c r="QH8" s="6" t="s">
        <v>150</v>
      </c>
      <c r="QI8" s="6" t="s">
        <v>151</v>
      </c>
      <c r="QJ8" s="6" t="s">
        <v>152</v>
      </c>
      <c r="QK8" s="6" t="s">
        <v>145</v>
      </c>
      <c r="QL8" s="6" t="s">
        <v>146</v>
      </c>
      <c r="QM8" s="6" t="s">
        <v>147</v>
      </c>
      <c r="QN8" s="6" t="s">
        <v>148</v>
      </c>
      <c r="QO8" s="6" t="s">
        <v>149</v>
      </c>
      <c r="QP8" s="6" t="s">
        <v>150</v>
      </c>
      <c r="QQ8" s="6" t="s">
        <v>151</v>
      </c>
      <c r="QR8" s="6" t="s">
        <v>152</v>
      </c>
      <c r="QS8" s="6" t="s">
        <v>145</v>
      </c>
      <c r="QT8" s="6" t="s">
        <v>146</v>
      </c>
      <c r="QU8" s="6" t="s">
        <v>147</v>
      </c>
      <c r="QV8" s="6" t="s">
        <v>148</v>
      </c>
      <c r="QW8" s="6" t="s">
        <v>149</v>
      </c>
      <c r="QX8" s="6" t="s">
        <v>150</v>
      </c>
      <c r="QY8" s="6" t="s">
        <v>151</v>
      </c>
      <c r="QZ8" s="6" t="s">
        <v>152</v>
      </c>
      <c r="RA8" s="6"/>
      <c r="RB8" s="6"/>
      <c r="RC8" s="6"/>
      <c r="RD8" s="6"/>
      <c r="RE8" s="6"/>
      <c r="RF8" s="6"/>
      <c r="RG8" s="6"/>
      <c r="RH8" s="6"/>
      <c r="RI8" s="6"/>
      <c r="RJ8" s="6"/>
      <c r="RK8" s="6"/>
      <c r="RL8" s="6"/>
      <c r="RM8" s="6"/>
      <c r="RN8" s="6"/>
      <c r="RO8" s="6"/>
      <c r="RP8" s="6"/>
      <c r="RQ8" s="6"/>
      <c r="RR8" s="6"/>
      <c r="RS8" s="6"/>
      <c r="RT8" s="6"/>
      <c r="RU8" s="6"/>
      <c r="RV8" s="6"/>
      <c r="RW8" s="6"/>
      <c r="RX8" s="6"/>
      <c r="RY8" s="6"/>
      <c r="RZ8" s="6"/>
      <c r="SA8" s="6"/>
      <c r="SB8" s="6"/>
      <c r="SC8" s="6"/>
      <c r="SD8" s="6"/>
      <c r="SE8" s="6"/>
      <c r="SF8" s="6"/>
      <c r="SG8" s="6"/>
      <c r="SH8" s="6"/>
      <c r="SI8" s="6"/>
      <c r="SJ8" s="6"/>
      <c r="SK8" s="6"/>
      <c r="SL8" s="6"/>
      <c r="SM8" s="6"/>
      <c r="SN8" s="6"/>
      <c r="SO8" s="6"/>
      <c r="SP8" s="6"/>
      <c r="SQ8" s="6"/>
      <c r="SR8" s="6"/>
      <c r="SS8" s="6"/>
      <c r="ST8" s="6"/>
      <c r="SU8" s="6"/>
      <c r="SV8" s="6"/>
      <c r="SW8" s="6"/>
      <c r="SX8" s="6"/>
      <c r="SY8" s="6"/>
      <c r="SZ8" s="6"/>
      <c r="TA8" s="6"/>
      <c r="TB8" s="6"/>
      <c r="TC8" s="6"/>
      <c r="TD8" s="6"/>
      <c r="TE8" s="6"/>
      <c r="TF8" s="6"/>
      <c r="TG8" s="6"/>
      <c r="TH8" s="6"/>
      <c r="TI8" s="6"/>
      <c r="TJ8" s="6"/>
      <c r="TK8" s="6"/>
      <c r="TL8" s="6"/>
      <c r="TM8" s="6"/>
      <c r="TN8" s="6"/>
      <c r="TO8" s="6"/>
      <c r="TP8" s="6"/>
      <c r="TQ8" s="6"/>
      <c r="TR8" s="6"/>
      <c r="TS8" s="6"/>
      <c r="TT8" s="6"/>
      <c r="TU8" s="6"/>
      <c r="TV8" s="6"/>
      <c r="TW8" s="6"/>
      <c r="TX8" s="6"/>
      <c r="TY8" s="6"/>
      <c r="TZ8" s="6"/>
      <c r="UA8" s="6"/>
      <c r="UB8" s="6"/>
      <c r="UC8" s="6"/>
      <c r="UD8" s="6"/>
      <c r="UE8" s="6"/>
      <c r="UF8" s="6"/>
      <c r="UG8" s="6"/>
      <c r="UH8" s="6"/>
      <c r="UI8" s="6"/>
      <c r="UJ8" s="6"/>
      <c r="UK8" s="6">
        <v>1</v>
      </c>
      <c r="UL8" s="6">
        <v>2</v>
      </c>
      <c r="UM8" s="6">
        <v>3</v>
      </c>
      <c r="UN8" s="6">
        <v>4</v>
      </c>
      <c r="UO8" s="6">
        <v>5</v>
      </c>
      <c r="UP8" s="6">
        <v>6</v>
      </c>
      <c r="UQ8" s="6">
        <v>7</v>
      </c>
      <c r="UR8" s="6" t="s">
        <v>89</v>
      </c>
      <c r="US8" s="6">
        <v>1</v>
      </c>
      <c r="UT8" s="6">
        <v>2</v>
      </c>
      <c r="UU8" s="6">
        <v>3</v>
      </c>
      <c r="UV8" s="6">
        <v>4</v>
      </c>
      <c r="UW8" s="6">
        <v>5</v>
      </c>
      <c r="UX8" s="6">
        <v>6</v>
      </c>
      <c r="UY8" s="6">
        <v>7</v>
      </c>
      <c r="UZ8" s="6" t="s">
        <v>89</v>
      </c>
      <c r="VA8" s="6">
        <v>1</v>
      </c>
      <c r="VB8" s="6">
        <v>2</v>
      </c>
      <c r="VC8" s="6">
        <v>3</v>
      </c>
      <c r="VD8" s="6">
        <v>4</v>
      </c>
      <c r="VE8" s="6">
        <v>5</v>
      </c>
      <c r="VF8" s="6">
        <v>6</v>
      </c>
      <c r="VG8" s="6">
        <v>7</v>
      </c>
      <c r="VH8" s="6" t="s">
        <v>89</v>
      </c>
      <c r="VI8" s="6">
        <v>1</v>
      </c>
      <c r="VJ8" s="6">
        <v>2</v>
      </c>
      <c r="VK8" s="6">
        <v>3</v>
      </c>
      <c r="VL8" s="6">
        <v>4</v>
      </c>
      <c r="VM8" s="6">
        <v>5</v>
      </c>
      <c r="VN8" s="6">
        <v>6</v>
      </c>
      <c r="VO8" s="6">
        <v>7</v>
      </c>
      <c r="VP8" s="6" t="s">
        <v>89</v>
      </c>
      <c r="VQ8" s="6">
        <v>1</v>
      </c>
      <c r="VR8" s="6">
        <v>2</v>
      </c>
      <c r="VS8" s="6">
        <v>3</v>
      </c>
      <c r="VT8" s="6">
        <v>4</v>
      </c>
      <c r="VU8" s="6">
        <v>5</v>
      </c>
      <c r="VV8" s="6">
        <v>6</v>
      </c>
      <c r="VW8" s="6">
        <v>7</v>
      </c>
      <c r="VX8" s="6" t="s">
        <v>89</v>
      </c>
      <c r="VY8" s="6">
        <v>1</v>
      </c>
      <c r="VZ8" s="6">
        <v>2</v>
      </c>
      <c r="WA8" s="6">
        <v>3</v>
      </c>
      <c r="WB8" s="6">
        <v>4</v>
      </c>
      <c r="WC8" s="6">
        <v>5</v>
      </c>
      <c r="WD8" s="6">
        <v>6</v>
      </c>
      <c r="WE8" s="6">
        <v>7</v>
      </c>
      <c r="WF8" s="6" t="s">
        <v>89</v>
      </c>
      <c r="WG8" s="6" t="s">
        <v>43</v>
      </c>
      <c r="WH8" s="6" t="s">
        <v>44</v>
      </c>
      <c r="WI8" s="6" t="s">
        <v>45</v>
      </c>
      <c r="WJ8" s="6" t="s">
        <v>46</v>
      </c>
      <c r="WK8" s="6" t="s">
        <v>47</v>
      </c>
      <c r="WL8" s="6" t="s">
        <v>48</v>
      </c>
      <c r="WM8" s="6" t="s">
        <v>49</v>
      </c>
      <c r="WN8" s="6" t="s">
        <v>50</v>
      </c>
      <c r="WO8" s="6">
        <v>1</v>
      </c>
      <c r="WP8" s="6">
        <v>2</v>
      </c>
      <c r="WQ8" s="6">
        <v>3</v>
      </c>
      <c r="WR8" s="6">
        <v>4</v>
      </c>
      <c r="WS8" s="6">
        <v>5</v>
      </c>
      <c r="WT8" s="6">
        <v>6</v>
      </c>
      <c r="WU8" s="6">
        <v>7</v>
      </c>
      <c r="WV8" s="6" t="s">
        <v>89</v>
      </c>
      <c r="WW8" s="6">
        <v>1</v>
      </c>
      <c r="WX8" s="6">
        <v>2</v>
      </c>
      <c r="WY8" s="6">
        <v>3</v>
      </c>
      <c r="WZ8" s="6">
        <v>4</v>
      </c>
      <c r="XA8" s="6">
        <v>5</v>
      </c>
      <c r="XB8" s="6">
        <v>6</v>
      </c>
      <c r="XC8" s="6">
        <v>7</v>
      </c>
      <c r="XD8" s="6" t="s">
        <v>89</v>
      </c>
      <c r="XE8" s="6">
        <v>1</v>
      </c>
      <c r="XF8" s="6">
        <v>2</v>
      </c>
      <c r="XG8" s="6">
        <v>3</v>
      </c>
      <c r="XH8" s="6">
        <v>4</v>
      </c>
      <c r="XI8" s="6">
        <v>5</v>
      </c>
      <c r="XJ8" s="6">
        <v>6</v>
      </c>
      <c r="XK8" s="6">
        <v>7</v>
      </c>
      <c r="XL8" s="6" t="s">
        <v>89</v>
      </c>
      <c r="XM8" s="6">
        <v>1</v>
      </c>
      <c r="XN8" s="6">
        <v>2</v>
      </c>
      <c r="XO8" s="6">
        <v>3</v>
      </c>
      <c r="XP8" s="6">
        <v>4</v>
      </c>
      <c r="XQ8" s="6">
        <v>5</v>
      </c>
      <c r="XR8" s="6">
        <v>6</v>
      </c>
      <c r="XS8" s="6">
        <v>7</v>
      </c>
      <c r="XT8" s="6" t="s">
        <v>89</v>
      </c>
      <c r="XU8" s="6">
        <v>1</v>
      </c>
      <c r="XV8" s="6">
        <v>2</v>
      </c>
      <c r="XW8" s="6">
        <v>3</v>
      </c>
      <c r="XX8" s="6">
        <v>4</v>
      </c>
      <c r="XY8" s="6">
        <v>5</v>
      </c>
      <c r="XZ8" s="6">
        <v>6</v>
      </c>
      <c r="YA8" s="6">
        <v>7</v>
      </c>
      <c r="YB8" s="6" t="s">
        <v>89</v>
      </c>
      <c r="YC8" s="6">
        <v>1</v>
      </c>
      <c r="YD8" s="6">
        <v>2</v>
      </c>
      <c r="YE8" s="6">
        <v>3</v>
      </c>
      <c r="YF8" s="6">
        <v>4</v>
      </c>
      <c r="YG8" s="6">
        <v>5</v>
      </c>
      <c r="YH8" s="6">
        <v>6</v>
      </c>
      <c r="YI8" s="6">
        <v>7</v>
      </c>
      <c r="YJ8" s="6" t="s">
        <v>89</v>
      </c>
      <c r="YK8" s="6">
        <v>1</v>
      </c>
      <c r="YL8" s="6">
        <v>2</v>
      </c>
      <c r="YM8" s="6">
        <v>3</v>
      </c>
      <c r="YN8" s="6">
        <v>4</v>
      </c>
      <c r="YO8" s="6">
        <v>5</v>
      </c>
      <c r="YP8" s="6">
        <v>6</v>
      </c>
      <c r="YQ8" s="6">
        <v>7</v>
      </c>
      <c r="YR8" s="6" t="s">
        <v>89</v>
      </c>
      <c r="YS8" s="6">
        <v>1</v>
      </c>
      <c r="YT8" s="6">
        <v>2</v>
      </c>
      <c r="YU8" s="6">
        <v>3</v>
      </c>
      <c r="YV8" s="6">
        <v>4</v>
      </c>
      <c r="YW8" s="6">
        <v>5</v>
      </c>
      <c r="YX8" s="6">
        <v>6</v>
      </c>
      <c r="YY8" s="6">
        <v>7</v>
      </c>
      <c r="YZ8" s="6" t="s">
        <v>89</v>
      </c>
      <c r="ZA8" s="6"/>
      <c r="ZB8" s="6"/>
      <c r="ZC8" s="6"/>
      <c r="ZD8" s="6"/>
      <c r="ZE8" s="6"/>
      <c r="ZF8" s="6"/>
      <c r="ZG8" s="6"/>
      <c r="ZH8" s="6"/>
      <c r="ZI8" s="6"/>
      <c r="ZJ8" s="6"/>
      <c r="ZK8" s="6"/>
      <c r="ZL8" s="6"/>
      <c r="ZM8" s="6"/>
      <c r="ZN8" s="6"/>
      <c r="ZO8" s="6"/>
      <c r="ZP8" s="6"/>
      <c r="ZQ8" s="6"/>
      <c r="ZR8" s="6"/>
      <c r="ZS8" s="6"/>
      <c r="ZT8" s="6"/>
      <c r="ZU8" s="6"/>
      <c r="ZV8" s="6"/>
      <c r="ZW8" s="6"/>
      <c r="ZX8" s="6"/>
      <c r="ZY8" s="6"/>
      <c r="ZZ8" s="6"/>
      <c r="AAA8" s="6"/>
      <c r="AAB8" s="6"/>
      <c r="AAC8" s="6"/>
      <c r="AAD8" s="6"/>
      <c r="AAE8" s="6"/>
      <c r="AAF8" s="6"/>
      <c r="AAG8" s="6"/>
      <c r="AAH8" s="6"/>
      <c r="AAI8" s="6"/>
      <c r="AAJ8" s="6"/>
      <c r="AAK8" s="6"/>
      <c r="AAL8" s="6"/>
      <c r="AAM8" s="6"/>
      <c r="AAN8" s="6"/>
      <c r="AAO8" s="6"/>
      <c r="AAP8" s="6"/>
      <c r="AAQ8" s="6"/>
      <c r="AAR8" s="6"/>
      <c r="AAS8" s="6"/>
      <c r="AAT8" s="6"/>
      <c r="AAU8" s="6"/>
      <c r="AAV8" s="6"/>
      <c r="AAW8" s="6"/>
      <c r="AAX8" s="6"/>
      <c r="AAY8" s="6"/>
      <c r="AAZ8" s="6"/>
      <c r="ABA8" s="6"/>
      <c r="ABB8" s="6"/>
      <c r="ABC8" s="6"/>
      <c r="ABD8" s="6"/>
      <c r="ABE8" s="6"/>
      <c r="ABF8" s="6"/>
      <c r="ABG8" s="6"/>
      <c r="ABH8" s="6"/>
      <c r="ABI8" s="6"/>
      <c r="ABJ8" s="6"/>
      <c r="ABK8" s="6"/>
      <c r="ABL8" s="6"/>
      <c r="ABM8" s="6"/>
      <c r="ABN8" s="6"/>
      <c r="ABO8" s="6"/>
      <c r="ABP8" s="6"/>
      <c r="ABQ8" s="6"/>
      <c r="ABR8" s="6"/>
      <c r="ABS8" s="6"/>
      <c r="ABT8" s="6"/>
      <c r="ABU8" s="6"/>
      <c r="ABV8" s="6"/>
      <c r="ABW8" s="6"/>
      <c r="ABX8" s="6"/>
      <c r="ABY8" s="6"/>
      <c r="ABZ8" s="6"/>
      <c r="ACA8" s="6"/>
      <c r="ACB8" s="6"/>
      <c r="ACC8" s="6"/>
      <c r="ACD8" s="6"/>
      <c r="ACE8" s="6"/>
      <c r="ACF8" s="6"/>
      <c r="ACG8" s="6"/>
      <c r="ACH8" s="6"/>
      <c r="ACI8" s="6"/>
      <c r="ACJ8" s="6"/>
      <c r="ACK8" s="6"/>
      <c r="ACL8" s="6"/>
      <c r="ACM8" s="6"/>
      <c r="ACN8" s="6"/>
      <c r="ACO8" s="6"/>
      <c r="ACP8" s="6"/>
      <c r="ACQ8" s="6"/>
      <c r="ACR8" s="6"/>
      <c r="ACS8" s="6"/>
      <c r="ACT8" s="6"/>
      <c r="ACU8" s="6"/>
      <c r="ACV8" s="6"/>
      <c r="ACW8" s="6"/>
      <c r="ACX8" s="6"/>
      <c r="ACY8" s="6"/>
      <c r="ACZ8" s="6"/>
      <c r="ADA8" s="6"/>
      <c r="ADB8" s="6"/>
      <c r="ADC8" s="6"/>
      <c r="ADD8" s="6"/>
      <c r="ADE8" s="6"/>
      <c r="ADF8" s="6"/>
      <c r="ADG8" s="6"/>
      <c r="ADH8" s="6"/>
      <c r="ADI8" s="6"/>
      <c r="ADJ8" s="6"/>
      <c r="ADK8" s="6"/>
      <c r="ADL8" s="6"/>
      <c r="ADM8" s="6"/>
      <c r="ADN8" s="6"/>
      <c r="ADO8" s="6"/>
      <c r="ADP8" s="6"/>
      <c r="ADQ8" s="6"/>
      <c r="ADR8" s="6"/>
      <c r="ADS8" s="6"/>
      <c r="ADT8" s="6"/>
      <c r="ADU8" s="6"/>
      <c r="ADV8" s="6"/>
      <c r="ADW8" s="6"/>
      <c r="ADX8" s="6"/>
      <c r="ADY8" s="6"/>
      <c r="ADZ8" s="6"/>
      <c r="AEA8" s="6"/>
      <c r="AEB8" s="6"/>
      <c r="AEC8" s="6"/>
      <c r="AED8" s="6"/>
      <c r="AEE8" s="6"/>
      <c r="AEF8" s="6"/>
      <c r="AEG8" s="6"/>
      <c r="AEH8" s="6"/>
      <c r="AEI8" s="6"/>
      <c r="AEJ8" s="6"/>
      <c r="AEK8" s="6"/>
      <c r="AEL8" s="6"/>
      <c r="AEM8" s="6"/>
      <c r="AEN8" s="6"/>
      <c r="AEO8" s="6"/>
      <c r="AEP8" s="6"/>
      <c r="AEQ8" s="6"/>
      <c r="AER8" s="6"/>
      <c r="AES8" s="6"/>
      <c r="AET8" s="6"/>
      <c r="AEU8" s="6"/>
      <c r="AEV8" s="6"/>
      <c r="AEW8" s="6"/>
      <c r="AEX8" s="6"/>
      <c r="AEY8" s="6"/>
      <c r="AEZ8" s="6"/>
      <c r="AFA8" s="6"/>
      <c r="AFB8" s="6"/>
      <c r="AFC8" s="6"/>
      <c r="AFD8" s="6"/>
      <c r="AFE8" s="6"/>
      <c r="AFF8" s="6"/>
      <c r="AFG8" s="6"/>
      <c r="AFH8" s="6"/>
      <c r="AFI8" s="6"/>
      <c r="AFJ8" s="6"/>
      <c r="AFK8" s="6"/>
      <c r="AFL8" s="6"/>
      <c r="AFM8" s="6"/>
      <c r="AFN8" s="6"/>
      <c r="AFO8" s="6"/>
      <c r="AFP8" s="6"/>
      <c r="AFQ8" s="6"/>
      <c r="AFR8" s="6"/>
      <c r="AFS8" s="6"/>
      <c r="AFT8" s="6"/>
      <c r="AFU8" s="6"/>
      <c r="AFV8" s="6"/>
      <c r="AFW8" s="6"/>
      <c r="AFX8" s="6"/>
      <c r="AFY8" s="6"/>
      <c r="AFZ8" s="6"/>
      <c r="AGA8" s="6"/>
      <c r="AGB8" s="6"/>
      <c r="AGC8" s="6"/>
      <c r="AGD8" s="6"/>
      <c r="AGE8" s="6"/>
      <c r="AGF8" s="6"/>
      <c r="AGG8" s="6"/>
      <c r="AGH8" s="6"/>
      <c r="AGI8" s="6"/>
      <c r="AGJ8" s="6"/>
      <c r="AGK8" s="6"/>
      <c r="AGL8" s="6"/>
      <c r="AGM8" s="6"/>
      <c r="AGN8" s="6"/>
      <c r="AGO8" s="6"/>
      <c r="AGP8" s="6"/>
      <c r="AGQ8" s="6"/>
      <c r="AGR8" s="6"/>
      <c r="AGS8" s="6"/>
      <c r="AGT8" s="6"/>
      <c r="AGU8" s="6"/>
      <c r="AGV8" s="6"/>
      <c r="AGW8" s="6"/>
      <c r="AGX8" s="6"/>
      <c r="AGY8" s="6"/>
      <c r="AGZ8" s="6"/>
      <c r="AHA8" s="6"/>
      <c r="AHB8" s="6"/>
      <c r="AHC8" s="6"/>
      <c r="AHD8" s="6"/>
      <c r="AHE8" s="6"/>
      <c r="AHF8" s="6"/>
      <c r="AHG8" s="6"/>
      <c r="AHH8" s="6"/>
      <c r="AHI8" s="6"/>
      <c r="AHJ8" s="6"/>
      <c r="AHK8" s="6"/>
      <c r="AHL8" s="6"/>
      <c r="AHM8" s="6"/>
      <c r="AHN8" s="6"/>
      <c r="AHO8" s="6"/>
      <c r="AHP8" s="6"/>
      <c r="AHQ8" s="6"/>
      <c r="AHR8" s="6"/>
      <c r="AHS8" s="6"/>
      <c r="AHT8" s="6"/>
      <c r="AHU8" s="6"/>
      <c r="AHV8" s="6"/>
      <c r="AHW8" s="6"/>
      <c r="AHX8" s="6"/>
      <c r="AHY8" s="6"/>
      <c r="AHZ8" s="6"/>
      <c r="AIA8" s="6"/>
      <c r="AIB8" s="6"/>
      <c r="AIC8" s="6"/>
      <c r="AID8" s="6"/>
      <c r="AIE8" s="6"/>
      <c r="AIF8" s="6"/>
      <c r="AIG8" s="6"/>
      <c r="AIH8" s="6"/>
      <c r="AII8" s="6"/>
      <c r="AIJ8" s="6"/>
      <c r="AIK8" s="6"/>
      <c r="AIL8" s="6"/>
      <c r="AIM8" s="6"/>
      <c r="AIN8" s="6"/>
      <c r="AIO8" s="6"/>
      <c r="AIP8" s="6"/>
      <c r="AIQ8" s="6"/>
      <c r="AIR8" s="6"/>
      <c r="AIS8" s="6"/>
      <c r="AIT8" s="6"/>
      <c r="AIU8" s="6"/>
      <c r="AIV8" s="6"/>
      <c r="AIW8" s="6"/>
      <c r="AIX8" s="6"/>
      <c r="AIY8" s="6"/>
      <c r="AIZ8" s="6"/>
      <c r="AJA8" s="6"/>
      <c r="AJB8" s="6"/>
      <c r="AJC8" s="6"/>
      <c r="AJD8" s="6"/>
      <c r="AJE8" s="6"/>
      <c r="AJF8" s="6"/>
      <c r="AJG8" s="6"/>
      <c r="AJH8" s="6"/>
      <c r="AJI8" s="6"/>
      <c r="AJJ8" s="6"/>
      <c r="AJK8" s="6"/>
      <c r="AJL8" s="6"/>
      <c r="AJM8" s="6"/>
      <c r="AJN8" s="6"/>
      <c r="AJO8" s="6"/>
      <c r="AJP8" s="6"/>
      <c r="AJQ8" s="6"/>
      <c r="AJR8" s="6"/>
      <c r="AJS8" s="6"/>
      <c r="AJT8" s="6"/>
      <c r="AJU8" s="6"/>
      <c r="AJV8" s="6"/>
      <c r="AJW8" s="6"/>
      <c r="AJX8" s="6"/>
      <c r="AJY8" s="6"/>
      <c r="AJZ8" s="6"/>
      <c r="AKA8" s="6"/>
      <c r="AKB8" s="6"/>
      <c r="AKC8" s="6"/>
      <c r="AKD8" s="6"/>
      <c r="AKE8" s="6"/>
      <c r="AKF8" s="6"/>
      <c r="AKG8" s="6"/>
      <c r="AKH8" s="6"/>
      <c r="AKI8" s="6"/>
      <c r="AKJ8" s="6"/>
      <c r="AKK8" s="6"/>
      <c r="AKL8" s="6"/>
      <c r="AKM8" s="6"/>
      <c r="AKN8" s="6"/>
      <c r="AKO8" s="6"/>
      <c r="AKP8" s="6"/>
      <c r="AKQ8" s="6"/>
      <c r="AKR8" s="6"/>
      <c r="AKS8" s="6"/>
      <c r="AKT8" s="6"/>
      <c r="AKU8" s="6"/>
      <c r="AKV8" s="6"/>
      <c r="AKW8" s="6"/>
      <c r="AKX8" s="6"/>
      <c r="AKY8" s="6"/>
      <c r="AKZ8" s="6"/>
      <c r="ALA8" s="6"/>
      <c r="ALB8" s="6"/>
      <c r="ALC8" s="6"/>
      <c r="ALD8" s="6"/>
      <c r="ALE8" s="6"/>
      <c r="ALF8" s="6"/>
      <c r="ALG8" s="6"/>
      <c r="ALH8" s="6"/>
      <c r="ALI8" s="6"/>
      <c r="ALJ8" s="6"/>
      <c r="ALK8" s="6"/>
      <c r="ALL8" s="6"/>
      <c r="ALM8" s="6"/>
      <c r="ALN8" s="6"/>
      <c r="ALO8" s="6"/>
      <c r="ALP8" s="6"/>
      <c r="ALQ8" s="6"/>
      <c r="ALR8" s="6"/>
      <c r="ALS8" s="6"/>
      <c r="ALT8" s="6"/>
      <c r="ALU8" s="6"/>
      <c r="ALV8" s="6"/>
      <c r="ALW8" s="6"/>
      <c r="ALX8" s="6"/>
      <c r="ALY8" s="6"/>
      <c r="ALZ8" s="6"/>
      <c r="AMA8" s="6"/>
      <c r="AMB8" s="6"/>
      <c r="AMC8" s="6"/>
      <c r="AMD8" s="6"/>
      <c r="AME8" s="6"/>
      <c r="AMF8" s="6"/>
      <c r="AMG8" s="6"/>
      <c r="AMH8" s="6"/>
      <c r="AMI8" s="6"/>
      <c r="AMJ8" s="6"/>
      <c r="AMK8" s="6"/>
      <c r="AML8" s="6"/>
      <c r="AMM8" s="6"/>
      <c r="AMN8" s="6"/>
      <c r="AMO8" s="6"/>
      <c r="AMP8" s="6"/>
      <c r="AMQ8" s="6"/>
      <c r="AMR8" s="6"/>
      <c r="AMS8" s="6"/>
      <c r="AMT8" s="6"/>
      <c r="AMU8" s="6"/>
      <c r="AMV8" s="6"/>
      <c r="AMW8" s="6"/>
      <c r="AMX8" s="6"/>
      <c r="AMY8" s="6"/>
      <c r="AMZ8" s="6"/>
      <c r="ANA8" s="6"/>
      <c r="ANB8" s="6"/>
      <c r="ANC8" s="6"/>
      <c r="AND8" s="6"/>
      <c r="ANE8" s="6"/>
      <c r="ANF8" s="6"/>
      <c r="ANG8" s="6"/>
      <c r="ANH8" s="6"/>
      <c r="ANI8" s="6"/>
      <c r="ANJ8" s="6"/>
      <c r="ANK8" s="6"/>
      <c r="ANL8" s="6"/>
      <c r="ANM8" s="6"/>
      <c r="ANN8" s="6"/>
      <c r="ANO8" s="6"/>
      <c r="ANP8" s="6"/>
      <c r="ANQ8" s="6"/>
      <c r="ANR8" s="6"/>
      <c r="ANS8" s="6"/>
      <c r="ANT8" s="6"/>
      <c r="ANU8" s="6"/>
      <c r="ANV8" s="6"/>
      <c r="ANW8" s="6"/>
      <c r="ANX8" s="6"/>
      <c r="ANY8" s="6"/>
      <c r="ANZ8" s="6"/>
      <c r="AOA8" s="6"/>
      <c r="AOB8" s="6"/>
      <c r="AOC8" s="6"/>
      <c r="AOD8" s="6"/>
      <c r="AOE8" s="6"/>
      <c r="AOF8" s="6"/>
      <c r="AOG8" s="6"/>
      <c r="AOH8" s="6"/>
      <c r="AOI8" s="6"/>
      <c r="AOJ8" s="6"/>
      <c r="AOK8" s="6"/>
      <c r="AOL8" s="6"/>
      <c r="AOM8" s="6"/>
      <c r="AON8" s="6"/>
      <c r="AOO8" s="6"/>
      <c r="AOP8" s="6"/>
      <c r="AOQ8" s="6"/>
      <c r="AOR8" s="6"/>
      <c r="AOS8" s="6"/>
      <c r="AOT8" s="6"/>
      <c r="AOU8" s="6"/>
      <c r="AOV8" s="6"/>
      <c r="AOW8" s="6"/>
      <c r="AOX8" s="6"/>
      <c r="AOY8" s="6"/>
      <c r="AOZ8" s="6"/>
      <c r="APA8" s="6"/>
      <c r="APB8" s="6"/>
      <c r="APC8" s="6"/>
      <c r="APD8" s="6"/>
      <c r="APE8" s="6"/>
      <c r="APF8" s="6"/>
      <c r="APG8" s="6"/>
      <c r="APH8" s="6"/>
      <c r="API8" s="6"/>
      <c r="APJ8" s="6"/>
      <c r="APK8" s="6"/>
      <c r="APL8" s="6"/>
      <c r="APM8" s="6"/>
      <c r="APN8" s="6"/>
      <c r="APO8" s="6"/>
      <c r="APP8" s="6"/>
      <c r="APQ8" s="6"/>
      <c r="APR8" s="6"/>
      <c r="APS8" s="6"/>
      <c r="APT8" s="6"/>
      <c r="APU8" s="6"/>
      <c r="APV8" s="6"/>
      <c r="APW8" s="6"/>
      <c r="APX8" s="6"/>
      <c r="APY8" s="6"/>
      <c r="APZ8" s="6"/>
      <c r="AQA8" s="6"/>
      <c r="AQB8" s="6"/>
      <c r="AQC8" s="6"/>
      <c r="AQD8" s="6"/>
      <c r="AQE8" s="6"/>
      <c r="AQF8" s="6"/>
      <c r="AQG8" s="6"/>
      <c r="AQH8" s="6"/>
      <c r="AQI8" s="6"/>
      <c r="AQJ8" s="6"/>
      <c r="AQK8" s="6"/>
      <c r="AQL8" s="6"/>
      <c r="AQM8" s="6"/>
      <c r="AQN8" s="6"/>
      <c r="AQO8" s="6"/>
      <c r="AQP8" s="6"/>
      <c r="AQQ8" s="6"/>
      <c r="AQR8" s="6"/>
      <c r="AQS8" s="6"/>
      <c r="AQT8" s="6"/>
      <c r="AQU8" s="6"/>
      <c r="AQV8" s="6"/>
      <c r="AQW8" s="6"/>
      <c r="AQX8" s="6"/>
      <c r="AQY8" s="6"/>
      <c r="AQZ8" s="6"/>
      <c r="ARA8" s="6"/>
      <c r="ARB8" s="6"/>
      <c r="ARC8" s="6"/>
      <c r="ARD8" s="6"/>
      <c r="ARE8" s="6"/>
      <c r="ARF8" s="6"/>
      <c r="ARG8" s="6"/>
      <c r="ARH8" s="6"/>
      <c r="ARI8" s="6"/>
      <c r="ARJ8" s="6"/>
      <c r="ARK8" s="6"/>
      <c r="ARL8" s="6"/>
      <c r="ARM8" s="6"/>
      <c r="ARN8" s="6"/>
      <c r="ARO8" s="6"/>
      <c r="ARP8" s="6"/>
      <c r="ARQ8" s="6"/>
      <c r="ARR8" s="6"/>
      <c r="ARS8" s="6"/>
      <c r="ART8" s="6"/>
      <c r="ARU8" s="6"/>
      <c r="ARV8" s="6"/>
      <c r="ARW8" s="6"/>
      <c r="ARX8" s="6"/>
      <c r="ARY8" s="6"/>
      <c r="ARZ8" s="6"/>
      <c r="ASA8" s="6"/>
      <c r="ASB8" s="6"/>
      <c r="ASC8" s="6"/>
      <c r="ASD8" s="6"/>
      <c r="ASE8" s="6"/>
      <c r="ASF8" s="6"/>
      <c r="ASG8" s="6"/>
      <c r="ASH8" s="6"/>
      <c r="ASI8" s="6"/>
      <c r="ASJ8" s="6"/>
      <c r="ASK8" s="6"/>
      <c r="ASL8" s="6"/>
      <c r="ASM8" s="6"/>
      <c r="ASN8" s="6"/>
      <c r="ASO8" s="6"/>
      <c r="ASP8" s="6"/>
      <c r="ASQ8" s="6"/>
      <c r="ASR8" s="6"/>
      <c r="ASS8" s="6"/>
      <c r="AST8" s="6"/>
      <c r="ASU8" s="6"/>
      <c r="ASV8" s="6"/>
      <c r="ASW8" s="6"/>
      <c r="ASX8" s="6"/>
      <c r="ASY8" s="6"/>
      <c r="ASZ8" s="6"/>
      <c r="ATA8" s="6"/>
      <c r="ATB8" s="6"/>
      <c r="ATC8" s="6"/>
      <c r="ATD8" s="6"/>
      <c r="ATE8" s="6"/>
      <c r="ATF8" s="6"/>
      <c r="ATG8" s="6"/>
      <c r="ATH8" s="6"/>
      <c r="ATI8" s="6"/>
      <c r="ATJ8" s="6"/>
      <c r="ATK8" s="6"/>
      <c r="ATL8" s="6"/>
      <c r="ATM8" s="6"/>
      <c r="ATN8" s="6"/>
      <c r="ATO8" s="6"/>
      <c r="ATP8" s="6"/>
      <c r="ATQ8" s="6"/>
      <c r="ATR8" s="6"/>
      <c r="ATS8" s="6"/>
      <c r="ATT8" s="6"/>
      <c r="ATU8" s="6"/>
      <c r="ATV8" s="6"/>
      <c r="ATW8" s="6"/>
      <c r="ATX8" s="6"/>
      <c r="ATY8" s="6"/>
      <c r="ATZ8" s="6"/>
      <c r="AUA8" s="6"/>
      <c r="AUB8" s="6"/>
      <c r="AUC8" s="6"/>
      <c r="AUD8" s="6"/>
      <c r="AUE8" s="6"/>
      <c r="AUF8" s="6"/>
      <c r="AUG8" s="6"/>
      <c r="AUH8" s="6"/>
      <c r="AUI8" s="6"/>
      <c r="AUJ8" s="6"/>
      <c r="AUK8" s="6"/>
      <c r="AUL8" s="6"/>
      <c r="AUM8" s="6"/>
      <c r="AUN8" s="6"/>
      <c r="AUO8" s="6"/>
      <c r="AUP8" s="6"/>
      <c r="AUQ8" s="6"/>
      <c r="AUR8" s="6"/>
      <c r="AUS8" s="6"/>
      <c r="AUT8" s="6"/>
      <c r="AUU8" s="6"/>
      <c r="AUV8" s="6"/>
      <c r="AUW8" s="6"/>
      <c r="AUX8" s="6"/>
      <c r="AUY8" s="6"/>
      <c r="AUZ8" s="6"/>
      <c r="AVA8" s="6"/>
      <c r="AVB8" s="6"/>
      <c r="AVC8" s="6"/>
      <c r="AVD8" s="6"/>
      <c r="AVE8" s="6"/>
      <c r="AVF8" s="6"/>
      <c r="AVG8" s="6"/>
      <c r="AVH8" s="6"/>
      <c r="AVI8" s="6"/>
      <c r="AVJ8" s="6"/>
      <c r="AVK8" s="6"/>
      <c r="AVL8" s="6"/>
      <c r="AVM8" s="6"/>
      <c r="AVN8" s="6"/>
      <c r="AVO8" s="6"/>
      <c r="AVP8" s="6"/>
      <c r="AVQ8" s="6"/>
      <c r="AVR8" s="6"/>
      <c r="AVS8" s="6"/>
      <c r="AVT8" s="6"/>
      <c r="AVU8" s="6"/>
      <c r="AVV8" s="6"/>
      <c r="AVW8" s="6"/>
      <c r="AVX8" s="6"/>
      <c r="AVY8" s="6"/>
      <c r="AVZ8" s="6"/>
      <c r="AWA8" s="6"/>
      <c r="AWB8" s="6"/>
      <c r="AWC8" s="6"/>
      <c r="AWD8" s="6"/>
      <c r="AWE8" s="6"/>
      <c r="AWF8" s="6"/>
      <c r="AWG8" s="6"/>
      <c r="AWH8" s="6"/>
      <c r="AWI8" s="6"/>
      <c r="AWJ8" s="6"/>
      <c r="AWK8" s="6"/>
      <c r="AWL8" s="6"/>
      <c r="AWM8" s="6"/>
      <c r="AWN8" s="6"/>
      <c r="AWO8" s="6"/>
      <c r="AWP8" s="6"/>
      <c r="AWQ8" s="6"/>
      <c r="AWR8" s="6"/>
      <c r="AWS8" s="6"/>
      <c r="AWT8" s="6"/>
      <c r="AWU8" s="6"/>
      <c r="AWV8" s="6"/>
      <c r="AWW8" s="6"/>
      <c r="AWX8" s="6"/>
      <c r="AWY8" s="6"/>
      <c r="AWZ8" s="6"/>
      <c r="AXA8" s="6"/>
      <c r="AXB8" s="6"/>
      <c r="AXC8" s="6"/>
      <c r="AXD8" s="6"/>
      <c r="AXE8" s="6"/>
      <c r="AXF8" s="6"/>
      <c r="AXG8" s="6"/>
      <c r="AXH8" s="6"/>
      <c r="AXI8" s="6"/>
      <c r="AXJ8" s="6"/>
      <c r="AXK8" s="6"/>
      <c r="AXL8" s="6"/>
      <c r="AXM8" s="6"/>
      <c r="AXN8" s="6"/>
      <c r="AXO8" s="6"/>
      <c r="AXP8" s="6"/>
      <c r="AXQ8" s="6"/>
      <c r="AXR8" s="6"/>
      <c r="AXS8" s="6"/>
      <c r="AXT8" s="6"/>
      <c r="AXU8" s="6"/>
      <c r="AXV8" s="6"/>
      <c r="AXW8" s="6"/>
      <c r="AXX8" s="6"/>
      <c r="AXY8" s="6"/>
      <c r="AXZ8" s="6"/>
      <c r="AYA8" s="6"/>
      <c r="AYB8" s="6"/>
      <c r="AYC8" s="6"/>
      <c r="AYD8" s="6"/>
      <c r="AYE8" s="6"/>
      <c r="AYF8" s="6"/>
      <c r="AYG8" s="6"/>
      <c r="AYH8" s="6"/>
      <c r="AYI8" s="6"/>
      <c r="AYJ8" s="6"/>
      <c r="AYK8" s="6"/>
      <c r="AYL8" s="6"/>
      <c r="AYM8" s="6"/>
      <c r="AYN8" s="6"/>
      <c r="AYO8" s="6"/>
      <c r="AYP8" s="6"/>
      <c r="AYQ8" s="6"/>
      <c r="AYR8" s="6"/>
      <c r="AYS8" s="6"/>
      <c r="AYT8" s="6"/>
      <c r="AYU8" s="6"/>
      <c r="AYV8" s="6"/>
      <c r="AYW8" s="6"/>
      <c r="AYX8" s="6"/>
      <c r="AYY8" s="6"/>
      <c r="AYZ8" s="6"/>
      <c r="AZA8" s="6"/>
      <c r="AZB8" s="6"/>
      <c r="AZC8" s="6"/>
      <c r="AZD8" s="6"/>
      <c r="AZE8" s="6"/>
      <c r="AZF8" s="6"/>
      <c r="AZG8" s="6"/>
      <c r="AZH8" s="6"/>
      <c r="AZI8" s="6"/>
      <c r="AZJ8" s="6"/>
      <c r="AZK8" s="6"/>
      <c r="AZL8" s="6"/>
      <c r="AZM8" s="6"/>
      <c r="AZN8" s="6"/>
      <c r="AZO8" s="6"/>
      <c r="AZP8" s="6"/>
      <c r="AZQ8" s="6"/>
      <c r="AZR8" s="6"/>
      <c r="AZS8" s="6"/>
      <c r="AZT8" s="6"/>
      <c r="AZU8" s="6"/>
      <c r="AZV8" s="6"/>
      <c r="AZW8" s="6"/>
      <c r="AZX8" s="6"/>
      <c r="AZY8" s="6"/>
      <c r="AZZ8" s="6"/>
      <c r="BAA8" s="6"/>
      <c r="BAB8" s="6"/>
      <c r="BAC8" s="6"/>
      <c r="BAD8" s="6"/>
      <c r="BAE8" s="6"/>
      <c r="BAF8" s="6"/>
      <c r="BAG8" s="6"/>
      <c r="BAH8" s="6"/>
      <c r="BAI8" s="6"/>
      <c r="BAJ8" s="6"/>
      <c r="BAK8" s="6"/>
      <c r="BAL8" s="6"/>
      <c r="BAM8" s="6"/>
      <c r="BAN8" s="6"/>
      <c r="BAO8" s="6"/>
      <c r="BAP8" s="6"/>
      <c r="BAQ8" s="6"/>
      <c r="BAR8" s="6"/>
      <c r="BAS8" s="6"/>
      <c r="BAT8" s="6"/>
      <c r="BAU8" s="6"/>
      <c r="BAV8" s="6"/>
      <c r="BAW8" s="6"/>
      <c r="BAX8" s="6"/>
      <c r="BAY8" s="6"/>
      <c r="BAZ8" s="6"/>
      <c r="BBA8" s="6"/>
      <c r="BBB8" s="6"/>
      <c r="BBC8" s="6"/>
      <c r="BBD8" s="6"/>
      <c r="BBE8" s="6"/>
      <c r="BBF8" s="6"/>
      <c r="BBG8" s="6"/>
      <c r="BBH8" s="6"/>
      <c r="BBI8" s="6"/>
      <c r="BBJ8" s="6"/>
      <c r="BBK8" s="6"/>
      <c r="BBL8" s="6"/>
      <c r="BBM8" s="6"/>
      <c r="BBN8" s="6"/>
      <c r="BBO8" s="6"/>
      <c r="BBP8" s="6"/>
      <c r="BBQ8" s="6"/>
      <c r="BBR8" s="6"/>
      <c r="BBS8" s="6"/>
      <c r="BBT8" s="6"/>
      <c r="BBU8" s="6"/>
      <c r="BBV8" s="6"/>
      <c r="BBW8" s="6"/>
      <c r="BBX8" s="6"/>
      <c r="BBY8" s="6"/>
      <c r="BBZ8" s="6"/>
      <c r="BCA8" s="6"/>
      <c r="BCB8" s="6"/>
      <c r="BCC8" s="6"/>
      <c r="BCD8" s="6"/>
      <c r="BCE8" s="6"/>
      <c r="BCF8" s="6"/>
      <c r="BCG8" s="6"/>
      <c r="BCH8" s="6"/>
      <c r="BCI8" s="6"/>
      <c r="BCJ8" s="6"/>
      <c r="BCK8" s="6"/>
      <c r="BCL8" s="6"/>
      <c r="BCM8" s="6"/>
      <c r="BCN8" s="6"/>
      <c r="BCO8" s="6"/>
      <c r="BCP8" s="6"/>
      <c r="BCQ8" s="6"/>
      <c r="BCR8" s="6"/>
      <c r="BCS8" s="6"/>
      <c r="BCT8" s="6"/>
      <c r="BCU8" s="6"/>
      <c r="BCV8" s="6"/>
      <c r="BCW8" s="6"/>
      <c r="BCX8" s="6"/>
      <c r="BCY8" s="6"/>
      <c r="BCZ8" s="6"/>
      <c r="BDA8" s="6"/>
      <c r="BDB8" s="6"/>
      <c r="BDC8" s="6"/>
      <c r="BDD8" s="6"/>
      <c r="BDE8" s="6"/>
      <c r="BDF8" s="6"/>
      <c r="BDG8" s="6"/>
      <c r="BDH8" s="6"/>
      <c r="BDI8" s="6"/>
      <c r="BDJ8" s="6"/>
      <c r="BDK8" s="6"/>
      <c r="BDL8" s="6"/>
      <c r="BDM8" s="6"/>
      <c r="BDN8" s="6"/>
      <c r="BDO8" s="6"/>
      <c r="BDP8" s="6"/>
      <c r="BDQ8" s="6"/>
      <c r="BDR8" s="6"/>
      <c r="BDS8" s="6"/>
      <c r="BDT8" s="6"/>
      <c r="BDU8" s="6"/>
      <c r="BDV8" s="6"/>
      <c r="BDW8" s="6"/>
      <c r="BDX8" s="6"/>
      <c r="BDY8" s="6"/>
      <c r="BDZ8" s="6"/>
      <c r="BEA8" s="6"/>
      <c r="BEB8" s="6"/>
      <c r="BEC8" s="6"/>
      <c r="BED8" s="6"/>
      <c r="BEE8" s="6"/>
      <c r="BEF8" s="6"/>
      <c r="BEG8" s="6"/>
      <c r="BEH8" s="6"/>
      <c r="BEI8" s="6"/>
      <c r="BEJ8" s="6"/>
      <c r="BEK8" s="6"/>
      <c r="BEL8" s="6"/>
      <c r="BEM8" s="6"/>
      <c r="BEN8" s="6"/>
      <c r="BEO8" s="6"/>
      <c r="BEP8" s="6"/>
      <c r="BEQ8" s="6"/>
      <c r="BER8" s="6"/>
      <c r="BES8" s="6"/>
      <c r="BET8" s="6"/>
      <c r="BEU8" s="6"/>
      <c r="BEV8" s="6"/>
      <c r="BEW8" s="6"/>
      <c r="BEX8" s="6"/>
      <c r="BEY8" s="6"/>
      <c r="BEZ8" s="6"/>
      <c r="BFA8" s="6"/>
      <c r="BFB8" s="6"/>
      <c r="BFC8" s="6"/>
      <c r="BFD8" s="6"/>
      <c r="BFE8" s="6"/>
      <c r="BFF8" s="6"/>
      <c r="BFG8" s="6"/>
      <c r="BFH8" s="6"/>
      <c r="BFI8" s="6"/>
      <c r="BFJ8" s="6"/>
      <c r="BFK8" s="6"/>
      <c r="BFL8" s="6"/>
      <c r="BFM8" s="6"/>
      <c r="BFN8" s="6"/>
      <c r="BFO8" s="6"/>
      <c r="BFP8" s="6"/>
      <c r="BFQ8" s="6"/>
      <c r="BFR8" s="6"/>
      <c r="BFS8" s="6"/>
      <c r="BFT8" s="6"/>
      <c r="BFU8" s="6"/>
      <c r="BFV8" s="6"/>
      <c r="BFW8" s="6"/>
      <c r="BFX8" s="6"/>
      <c r="BFY8" s="6"/>
      <c r="BFZ8" s="6"/>
      <c r="BGA8" s="6"/>
      <c r="BGB8" s="6"/>
      <c r="BGC8" s="6"/>
      <c r="BGD8" s="6"/>
      <c r="BGE8" s="6"/>
      <c r="BGF8" s="6"/>
      <c r="BGG8" s="6"/>
      <c r="BGH8" s="6"/>
      <c r="BGI8" s="6"/>
      <c r="BGJ8" s="6"/>
      <c r="BGK8" s="6"/>
      <c r="BGL8" s="6"/>
      <c r="BGM8" s="6"/>
      <c r="BGN8" s="6"/>
      <c r="BGO8" s="6"/>
      <c r="BGP8" s="6"/>
      <c r="BGQ8" s="6"/>
      <c r="BGR8" s="6"/>
      <c r="BGS8" s="6"/>
      <c r="BGT8" s="6"/>
      <c r="BGU8" s="6"/>
      <c r="BGV8" s="6"/>
      <c r="BGW8" s="6"/>
      <c r="BGX8" s="6"/>
      <c r="BGY8" s="6"/>
      <c r="BGZ8" s="6"/>
      <c r="BHA8" s="6"/>
      <c r="BHB8" s="6"/>
      <c r="BHC8" s="6"/>
      <c r="BHD8" s="6"/>
      <c r="BHE8" s="6"/>
      <c r="BHF8" s="6"/>
      <c r="BHG8" s="6"/>
      <c r="BHH8" s="6"/>
      <c r="BHI8" s="6"/>
      <c r="BHJ8" s="6"/>
      <c r="BHK8" s="6"/>
      <c r="BHL8" s="6"/>
      <c r="BHM8" s="6"/>
      <c r="BHN8" s="6"/>
      <c r="BHO8" s="6"/>
      <c r="BHP8" s="6"/>
      <c r="BHQ8" s="6"/>
      <c r="BHR8" s="6"/>
      <c r="BHS8" s="6"/>
      <c r="BHT8" s="6"/>
      <c r="BHU8" s="6"/>
      <c r="BHV8" s="6"/>
      <c r="BHW8" s="6"/>
      <c r="BHX8" s="6"/>
      <c r="BHY8" s="6"/>
      <c r="BHZ8" s="6"/>
      <c r="BIA8" s="6"/>
      <c r="BIB8" s="6"/>
      <c r="BIC8" s="6"/>
      <c r="BID8" s="6"/>
      <c r="BIE8" s="6"/>
      <c r="BIF8" s="6"/>
      <c r="BIG8" s="6"/>
      <c r="BIH8" s="6"/>
      <c r="BII8" s="6"/>
      <c r="BIJ8" s="6"/>
      <c r="BIK8" s="6"/>
      <c r="BIL8" s="6"/>
      <c r="BIM8" s="6"/>
      <c r="BIN8" s="6"/>
      <c r="BIO8" s="6"/>
      <c r="BIP8" s="6"/>
      <c r="BIQ8" s="6"/>
      <c r="BIR8" s="6"/>
      <c r="BIS8" s="6"/>
      <c r="BIT8" s="6"/>
      <c r="BIU8" s="6"/>
      <c r="BIV8" s="6"/>
      <c r="BIW8" s="6"/>
      <c r="BIX8" s="6"/>
      <c r="BIY8" s="6"/>
      <c r="BIZ8" s="6"/>
      <c r="BJA8" s="6"/>
      <c r="BJB8" s="6"/>
      <c r="BJC8" s="6"/>
      <c r="BJD8" s="6"/>
      <c r="BJE8" s="6"/>
      <c r="BJF8" s="6"/>
      <c r="BJG8" s="6"/>
      <c r="BJH8" s="6"/>
      <c r="BJI8" s="6"/>
      <c r="BJJ8" s="6"/>
      <c r="BJK8" s="6"/>
      <c r="BJL8" s="6"/>
      <c r="BJM8" s="6"/>
      <c r="BJN8" s="6"/>
      <c r="BJO8" s="6"/>
      <c r="BJP8" s="6"/>
      <c r="BJQ8" s="6"/>
      <c r="BJR8" s="6"/>
      <c r="BJS8" s="6"/>
      <c r="BJT8" s="6"/>
      <c r="BJU8" s="6"/>
      <c r="BJV8" s="6"/>
      <c r="BJW8" s="6"/>
      <c r="BJX8" s="6"/>
      <c r="BJY8" s="6"/>
      <c r="BJZ8" s="6"/>
      <c r="BKA8" s="6"/>
      <c r="BKB8" s="6"/>
      <c r="BKC8" s="6"/>
      <c r="BKD8" s="6"/>
      <c r="BKE8" s="6"/>
      <c r="BKF8" s="6"/>
      <c r="BKG8" s="6"/>
      <c r="BKH8" s="6"/>
      <c r="BKI8" s="6"/>
      <c r="BKJ8" s="6"/>
      <c r="BKK8" s="6"/>
      <c r="BKL8" s="6"/>
      <c r="BKM8" s="6"/>
      <c r="BKN8" s="6"/>
      <c r="BKO8" s="6"/>
      <c r="BKP8" s="6"/>
      <c r="BKQ8" s="6"/>
      <c r="BKR8" s="6"/>
      <c r="BKS8" s="6"/>
      <c r="BKT8" s="6"/>
      <c r="BKU8" s="6"/>
      <c r="BKV8" s="6"/>
      <c r="BKW8" s="6"/>
      <c r="BKX8" s="6"/>
      <c r="BKY8" s="6"/>
      <c r="BKZ8" s="6"/>
      <c r="BLA8" s="6"/>
      <c r="BLB8" s="6"/>
      <c r="BLC8" s="6"/>
      <c r="BLD8" s="6"/>
      <c r="BLE8" s="6"/>
      <c r="BLF8" s="6"/>
      <c r="BLG8" s="6"/>
      <c r="BLH8" s="6"/>
      <c r="BLI8" s="6"/>
      <c r="BLJ8" s="6"/>
      <c r="BLK8" s="6"/>
      <c r="BLL8" s="6"/>
      <c r="BLM8" s="6"/>
      <c r="BLN8" s="6"/>
      <c r="BLO8" s="6"/>
      <c r="BLP8" s="6"/>
      <c r="BLQ8" s="6"/>
      <c r="BLR8" s="6"/>
      <c r="BLS8" s="6"/>
      <c r="BLT8" s="6"/>
      <c r="BLU8" s="6"/>
      <c r="BLV8" s="6"/>
      <c r="BLW8" s="6"/>
      <c r="BLX8" s="6"/>
      <c r="BLY8" s="6"/>
      <c r="BLZ8" s="6"/>
      <c r="BMA8" s="6"/>
      <c r="BMB8" s="6"/>
      <c r="BMC8" s="6"/>
      <c r="BMD8" s="6"/>
      <c r="BME8" s="6"/>
      <c r="BMF8" s="6"/>
      <c r="BMG8" s="6"/>
      <c r="BMH8" s="6"/>
      <c r="BMI8" s="6"/>
      <c r="BMJ8" s="6"/>
      <c r="BMK8" s="6"/>
      <c r="BML8" s="6"/>
      <c r="BMM8" s="6"/>
      <c r="BMN8" s="6"/>
      <c r="BMO8" s="6"/>
      <c r="BMP8" s="6"/>
      <c r="BMQ8" s="6"/>
      <c r="BMR8" s="6"/>
      <c r="BMS8" s="6"/>
      <c r="BMT8" s="6"/>
      <c r="BMU8" s="6"/>
      <c r="BMV8" s="6"/>
      <c r="BMW8" s="6"/>
      <c r="BMX8" s="6"/>
      <c r="BMY8" s="6"/>
      <c r="BMZ8" s="6"/>
      <c r="BNA8" s="6"/>
      <c r="BNB8" s="6"/>
      <c r="BNC8" s="6"/>
      <c r="BND8" s="6"/>
      <c r="BNE8" s="6"/>
      <c r="BNF8" s="6"/>
      <c r="BNG8" s="6"/>
      <c r="BNH8" s="6"/>
      <c r="BNI8" s="6"/>
      <c r="BNJ8" s="6"/>
      <c r="BNK8" s="6"/>
      <c r="BNL8" s="6"/>
      <c r="BNM8" s="6"/>
      <c r="BNN8" s="6"/>
      <c r="BNO8" s="6"/>
      <c r="BNP8" s="6"/>
      <c r="BNQ8" s="6"/>
      <c r="BNR8" s="6"/>
      <c r="BNS8" s="6"/>
      <c r="BNT8" s="6"/>
      <c r="BNU8" s="6"/>
      <c r="BNV8" s="6"/>
      <c r="BNW8" s="6"/>
      <c r="BNX8" s="6"/>
      <c r="BNY8" s="6"/>
      <c r="BNZ8" s="6"/>
      <c r="BOA8" s="6"/>
      <c r="BOB8" s="6"/>
      <c r="BOC8" s="6"/>
      <c r="BOD8" s="6"/>
      <c r="BOE8" s="6"/>
      <c r="BOF8" s="6"/>
      <c r="BOG8" s="6"/>
      <c r="BOH8" s="6"/>
      <c r="BOI8" s="6"/>
      <c r="BOJ8" s="6"/>
      <c r="BOK8" s="6"/>
      <c r="BOL8" s="6"/>
      <c r="BOM8" s="6"/>
      <c r="BON8" s="6"/>
      <c r="BOO8" s="6"/>
      <c r="BOP8" s="6"/>
      <c r="BOQ8" s="6"/>
      <c r="BOR8" s="6"/>
      <c r="BOS8" s="6"/>
      <c r="BOT8" s="6"/>
      <c r="BOU8" s="6"/>
      <c r="BOV8" s="6"/>
      <c r="BOW8" s="6"/>
      <c r="BOX8" s="6"/>
      <c r="BOY8" s="6"/>
      <c r="BOZ8" s="6"/>
      <c r="BPA8" s="6"/>
      <c r="BPB8" s="6"/>
      <c r="BPC8" s="6"/>
      <c r="BPD8" s="6"/>
      <c r="BPE8" s="6"/>
      <c r="BPF8" s="6"/>
      <c r="BPG8" s="6"/>
      <c r="BPH8" s="6"/>
      <c r="BPI8" s="6"/>
      <c r="BPJ8" s="6"/>
      <c r="BPK8" s="6"/>
      <c r="BPL8" s="6"/>
      <c r="BPM8" s="6"/>
      <c r="BPN8" s="6"/>
      <c r="BPO8" s="6"/>
      <c r="BPP8" s="6"/>
      <c r="BPQ8" s="6"/>
      <c r="BPR8" s="6"/>
      <c r="BPS8" s="6"/>
      <c r="BPT8" s="6"/>
      <c r="BPU8" s="6"/>
      <c r="BPV8" s="6"/>
      <c r="BPW8" s="6"/>
      <c r="BPX8" s="6"/>
      <c r="BPY8" s="6"/>
      <c r="BPZ8" s="6"/>
      <c r="BQA8" s="6"/>
      <c r="BQB8" s="6"/>
      <c r="BQC8" s="6"/>
      <c r="BQD8" s="6"/>
      <c r="BQE8" s="6"/>
      <c r="BQF8" s="6"/>
      <c r="BQG8" s="6"/>
      <c r="BQH8" s="6"/>
      <c r="BQI8" s="6"/>
      <c r="BQJ8" s="6"/>
      <c r="BQK8" s="6"/>
      <c r="BQL8" s="6"/>
      <c r="BQM8" s="6"/>
      <c r="BQN8" s="6"/>
      <c r="BQO8" s="6"/>
      <c r="BQP8" s="6"/>
      <c r="BQQ8" s="6"/>
      <c r="BQR8" s="6"/>
      <c r="BQS8" s="6"/>
      <c r="BQT8" s="6"/>
      <c r="BQU8" s="6"/>
      <c r="BQV8" s="6"/>
      <c r="BQW8" s="6"/>
      <c r="BQX8" s="6"/>
      <c r="BQY8" s="6"/>
      <c r="BQZ8" s="6"/>
      <c r="BRA8" s="6"/>
      <c r="BRB8" s="6"/>
      <c r="BRC8" s="6"/>
      <c r="BRD8" s="6"/>
      <c r="BRE8" s="6"/>
      <c r="BRF8" s="6"/>
      <c r="BRG8" s="6"/>
      <c r="BRH8" s="6"/>
      <c r="BRI8" s="6"/>
      <c r="BRJ8" s="6"/>
      <c r="BRK8" s="6"/>
      <c r="BRL8" s="6"/>
      <c r="BRM8" s="6"/>
      <c r="BRN8" s="6"/>
      <c r="BRO8" s="6"/>
      <c r="BRP8" s="6"/>
      <c r="BRQ8" s="6"/>
      <c r="BRR8" s="6"/>
      <c r="BRS8" s="6"/>
      <c r="BRT8" s="6"/>
      <c r="BRU8" s="6"/>
      <c r="BRV8" s="6"/>
      <c r="BRW8" s="6"/>
      <c r="BRX8" s="6"/>
      <c r="BRY8" s="6"/>
      <c r="BRZ8" s="6"/>
      <c r="BSA8" s="6"/>
      <c r="BSB8" s="6"/>
      <c r="BSC8" s="6"/>
      <c r="BSD8" s="6"/>
      <c r="BSE8" s="6"/>
      <c r="BSF8" s="6"/>
      <c r="BSG8" s="6"/>
      <c r="BSH8" s="6"/>
      <c r="BSI8" s="6"/>
      <c r="BSJ8" s="6"/>
      <c r="BSK8" s="6"/>
      <c r="BSL8" s="6"/>
      <c r="BSM8" s="6"/>
      <c r="BSN8" s="6"/>
      <c r="BSO8" s="6"/>
      <c r="BSP8" s="6"/>
      <c r="BSQ8" s="6"/>
      <c r="BSR8" s="6"/>
      <c r="BSS8" s="6"/>
      <c r="BST8" s="6"/>
      <c r="BSU8" s="6"/>
      <c r="BSV8" s="6"/>
      <c r="BSW8" s="6"/>
      <c r="BSX8" s="6"/>
      <c r="BSY8" s="6"/>
      <c r="BSZ8" s="6"/>
      <c r="BTA8" s="6"/>
      <c r="BTB8" s="6"/>
      <c r="BTC8" s="6"/>
      <c r="BTD8" s="6"/>
      <c r="BTE8" s="6"/>
      <c r="BTF8" s="6"/>
      <c r="BTG8" s="6"/>
      <c r="BTH8" s="6"/>
      <c r="BTI8" s="6"/>
      <c r="BTJ8" s="6"/>
      <c r="BTK8" s="6"/>
      <c r="BTL8" s="6"/>
      <c r="BTM8" s="6"/>
      <c r="BTN8" s="6"/>
      <c r="BTO8" s="6"/>
      <c r="BTP8" s="6"/>
      <c r="BTQ8" s="6"/>
      <c r="BTR8" s="6"/>
      <c r="BTS8" s="6"/>
      <c r="BTT8" s="6"/>
      <c r="BTU8" s="6"/>
      <c r="BTV8" s="6"/>
      <c r="BTW8" s="6"/>
      <c r="BTX8" s="6"/>
      <c r="BTY8" s="6"/>
      <c r="BTZ8" s="6"/>
      <c r="BUA8" s="6"/>
      <c r="BUB8" s="6"/>
      <c r="BUC8" s="6"/>
      <c r="BUD8" s="6"/>
      <c r="BUE8" s="6"/>
      <c r="BUF8" s="6"/>
      <c r="BUG8" s="6"/>
      <c r="BUH8" s="6"/>
      <c r="BUI8" s="6"/>
      <c r="BUJ8" s="6"/>
      <c r="BUK8" s="6"/>
      <c r="BUL8" s="6"/>
      <c r="BUM8" s="6"/>
      <c r="BUN8" s="6"/>
      <c r="BUO8" s="6"/>
      <c r="BUP8" s="6"/>
      <c r="BUQ8" s="6"/>
      <c r="BUR8" s="6"/>
      <c r="BUS8" s="6"/>
      <c r="BUT8" s="6"/>
      <c r="BUU8" s="6"/>
      <c r="BUV8" s="6"/>
      <c r="BUW8" s="6"/>
      <c r="BUX8" s="6"/>
      <c r="BUY8" s="6"/>
      <c r="BUZ8" s="6"/>
      <c r="BVA8" s="6"/>
      <c r="BVB8" s="6"/>
      <c r="BVC8" s="6"/>
      <c r="BVD8" s="6"/>
      <c r="BVE8" s="6"/>
      <c r="BVF8" s="6"/>
      <c r="BVG8" s="6"/>
      <c r="BVH8" s="6"/>
      <c r="BVI8" s="6"/>
      <c r="BVJ8" s="6"/>
      <c r="BVK8" s="6"/>
      <c r="BVL8" s="6"/>
      <c r="BVM8" s="6"/>
      <c r="BVN8" s="6"/>
      <c r="BVO8" s="6"/>
      <c r="BVP8" s="6"/>
      <c r="BVQ8" s="6"/>
      <c r="BVR8" s="6"/>
      <c r="BVS8" s="6"/>
      <c r="BVT8" s="6"/>
      <c r="BVU8" s="6"/>
      <c r="BVV8" s="6"/>
      <c r="BVW8" s="6"/>
      <c r="BVX8" s="6"/>
      <c r="BVY8" s="6"/>
      <c r="BVZ8" s="6"/>
      <c r="BWA8" s="6"/>
      <c r="BWB8" s="6"/>
      <c r="BWC8" s="6"/>
      <c r="BWD8" s="6"/>
      <c r="BWE8" s="6"/>
      <c r="BWF8" s="6"/>
      <c r="BWG8" s="6"/>
      <c r="BWH8" s="6"/>
      <c r="BWI8" s="6"/>
      <c r="BWJ8" s="6"/>
      <c r="BWK8" s="6"/>
      <c r="BWL8" s="6"/>
      <c r="BWM8" s="6"/>
      <c r="BWN8" s="6"/>
      <c r="BWO8" s="6"/>
      <c r="BWP8" s="6"/>
      <c r="BWQ8" s="6"/>
      <c r="BWR8" s="6"/>
      <c r="BWS8" s="6"/>
      <c r="BWT8" s="6"/>
      <c r="BWU8" s="6"/>
      <c r="BWV8" s="6"/>
      <c r="BWW8" s="6"/>
      <c r="BWX8" s="6"/>
      <c r="BWY8" s="6"/>
      <c r="BWZ8" s="6"/>
      <c r="BXA8" s="6"/>
      <c r="BXB8" s="6"/>
      <c r="BXC8" s="6"/>
      <c r="BXD8" s="6"/>
      <c r="BXE8" s="6"/>
      <c r="BXF8" s="6"/>
      <c r="BXG8" s="6"/>
      <c r="BXH8" s="6"/>
      <c r="BXI8" s="6"/>
      <c r="BXJ8" s="6"/>
      <c r="BXK8" s="6"/>
      <c r="BXL8" s="6"/>
      <c r="BXM8" s="6"/>
      <c r="BXN8" s="6"/>
      <c r="BXO8" s="6"/>
      <c r="BXP8" s="6"/>
      <c r="BXQ8" s="6"/>
      <c r="BXR8" s="6"/>
      <c r="BXS8" s="6"/>
      <c r="BXT8" s="6"/>
      <c r="BXU8" s="6"/>
      <c r="BXV8" s="6"/>
      <c r="BXW8" s="6"/>
      <c r="BXX8" s="6"/>
      <c r="BXY8" s="6"/>
      <c r="BXZ8" s="6"/>
      <c r="BYA8" s="6"/>
      <c r="BYB8" s="6"/>
      <c r="BYC8" s="6"/>
      <c r="BYD8" s="6"/>
      <c r="BYE8" s="6"/>
      <c r="BYF8" s="6"/>
      <c r="BYG8" s="6"/>
      <c r="BYH8" s="6"/>
      <c r="BYI8" s="6"/>
      <c r="BYJ8" s="6"/>
      <c r="BYK8" s="6"/>
      <c r="BYL8" s="6"/>
      <c r="BYM8" s="6"/>
      <c r="BYN8" s="6"/>
      <c r="BYO8" s="6"/>
      <c r="BYP8" s="6"/>
      <c r="BYQ8" s="6"/>
      <c r="BYR8" s="6"/>
      <c r="BYS8" s="6"/>
      <c r="BYT8" s="6"/>
      <c r="BYU8" s="6"/>
      <c r="BYV8" s="6"/>
      <c r="BYW8" s="6"/>
      <c r="BYX8" s="6"/>
      <c r="BYY8" s="6"/>
      <c r="BYZ8" s="6"/>
      <c r="BZA8" s="6"/>
      <c r="BZB8" s="6"/>
      <c r="BZC8" s="6"/>
      <c r="BZD8" s="6"/>
      <c r="BZE8" s="6"/>
      <c r="BZF8" s="6"/>
      <c r="BZG8" s="6"/>
      <c r="BZH8" s="6"/>
      <c r="BZI8" s="6"/>
      <c r="BZJ8" s="6"/>
      <c r="BZK8" s="6"/>
      <c r="BZL8" s="6"/>
      <c r="BZM8" s="6"/>
      <c r="BZN8" s="6"/>
      <c r="BZO8" s="6"/>
      <c r="BZP8" s="6"/>
      <c r="BZQ8" s="6"/>
      <c r="BZR8" s="6"/>
      <c r="BZS8" s="6"/>
      <c r="BZT8" s="6"/>
      <c r="BZU8" s="7"/>
    </row>
    <row r="9" spans="1:2049" s="3" customFormat="1" ht="15" outlineLevel="1" thickBot="1" x14ac:dyDescent="0.35">
      <c r="A9" s="33" t="s">
        <v>171</v>
      </c>
      <c r="B9" s="8">
        <v>0</v>
      </c>
      <c r="C9" s="8">
        <v>1</v>
      </c>
      <c r="D9" s="8">
        <v>2</v>
      </c>
      <c r="E9" s="8">
        <v>3</v>
      </c>
      <c r="F9" s="8">
        <v>4</v>
      </c>
      <c r="G9" s="8">
        <v>5</v>
      </c>
      <c r="H9" s="8">
        <v>6</v>
      </c>
      <c r="I9" s="8">
        <v>7</v>
      </c>
      <c r="J9" s="8">
        <v>8</v>
      </c>
      <c r="K9" s="8">
        <v>9</v>
      </c>
      <c r="L9" s="8">
        <v>10</v>
      </c>
      <c r="M9" s="8">
        <v>11</v>
      </c>
      <c r="N9" s="8">
        <v>12</v>
      </c>
      <c r="O9" s="8">
        <v>13</v>
      </c>
      <c r="P9" s="8">
        <v>14</v>
      </c>
      <c r="Q9" s="8">
        <v>15</v>
      </c>
      <c r="R9" s="8">
        <v>16</v>
      </c>
      <c r="S9" s="8">
        <v>17</v>
      </c>
      <c r="T9" s="8">
        <v>18</v>
      </c>
      <c r="U9" s="8">
        <v>19</v>
      </c>
      <c r="V9" s="8">
        <v>20</v>
      </c>
      <c r="W9" s="8">
        <v>21</v>
      </c>
      <c r="X9" s="8">
        <v>22</v>
      </c>
      <c r="Y9" s="8">
        <v>23</v>
      </c>
      <c r="Z9" s="8">
        <v>24</v>
      </c>
      <c r="AA9" s="8">
        <v>25</v>
      </c>
      <c r="AB9" s="8">
        <v>26</v>
      </c>
      <c r="AC9" s="8">
        <v>27</v>
      </c>
      <c r="AD9" s="8">
        <v>28</v>
      </c>
      <c r="AE9" s="8">
        <v>29</v>
      </c>
      <c r="AF9" s="8">
        <v>30</v>
      </c>
      <c r="AG9" s="8">
        <v>31</v>
      </c>
      <c r="AH9" s="8">
        <v>32</v>
      </c>
      <c r="AI9" s="8">
        <v>33</v>
      </c>
      <c r="AJ9" s="8">
        <v>34</v>
      </c>
      <c r="AK9" s="8">
        <v>35</v>
      </c>
      <c r="AL9" s="8">
        <v>36</v>
      </c>
      <c r="AM9" s="8">
        <v>37</v>
      </c>
      <c r="AN9" s="8">
        <v>38</v>
      </c>
      <c r="AO9" s="8">
        <v>39</v>
      </c>
      <c r="AP9" s="8">
        <v>40</v>
      </c>
      <c r="AQ9" s="8">
        <v>41</v>
      </c>
      <c r="AR9" s="8">
        <v>42</v>
      </c>
      <c r="AS9" s="8">
        <v>43</v>
      </c>
      <c r="AT9" s="8">
        <v>44</v>
      </c>
      <c r="AU9" s="8">
        <v>45</v>
      </c>
      <c r="AV9" s="8">
        <v>46</v>
      </c>
      <c r="AW9" s="8">
        <v>47</v>
      </c>
      <c r="AX9" s="8">
        <v>48</v>
      </c>
      <c r="AY9" s="8">
        <v>49</v>
      </c>
      <c r="AZ9" s="8">
        <v>50</v>
      </c>
      <c r="BA9" s="8">
        <v>51</v>
      </c>
      <c r="BB9" s="8">
        <v>52</v>
      </c>
      <c r="BC9" s="8">
        <v>53</v>
      </c>
      <c r="BD9" s="8">
        <v>54</v>
      </c>
      <c r="BE9" s="8">
        <v>55</v>
      </c>
      <c r="BF9" s="8">
        <v>56</v>
      </c>
      <c r="BG9" s="8">
        <v>57</v>
      </c>
      <c r="BH9" s="8">
        <v>58</v>
      </c>
      <c r="BI9" s="8">
        <v>59</v>
      </c>
      <c r="BJ9" s="8">
        <v>60</v>
      </c>
      <c r="BK9" s="8">
        <v>61</v>
      </c>
      <c r="BL9" s="8">
        <v>62</v>
      </c>
      <c r="BM9" s="8">
        <v>63</v>
      </c>
      <c r="BN9" s="8">
        <v>64</v>
      </c>
      <c r="BO9" s="8">
        <v>65</v>
      </c>
      <c r="BP9" s="8">
        <v>66</v>
      </c>
      <c r="BQ9" s="8">
        <v>67</v>
      </c>
      <c r="BR9" s="8">
        <v>68</v>
      </c>
      <c r="BS9" s="8">
        <v>69</v>
      </c>
      <c r="BT9" s="8">
        <v>70</v>
      </c>
      <c r="BU9" s="8">
        <v>71</v>
      </c>
      <c r="BV9" s="8">
        <v>72</v>
      </c>
      <c r="BW9" s="8">
        <v>73</v>
      </c>
      <c r="BX9" s="8">
        <v>74</v>
      </c>
      <c r="BY9" s="8">
        <v>75</v>
      </c>
      <c r="BZ9" s="8">
        <v>76</v>
      </c>
      <c r="CA9" s="8">
        <v>77</v>
      </c>
      <c r="CB9" s="8">
        <v>78</v>
      </c>
      <c r="CC9" s="8">
        <v>79</v>
      </c>
      <c r="CD9" s="8">
        <v>80</v>
      </c>
      <c r="CE9" s="8">
        <v>81</v>
      </c>
      <c r="CF9" s="8">
        <v>82</v>
      </c>
      <c r="CG9" s="8">
        <v>83</v>
      </c>
      <c r="CH9" s="8">
        <v>84</v>
      </c>
      <c r="CI9" s="8">
        <v>85</v>
      </c>
      <c r="CJ9" s="8">
        <v>86</v>
      </c>
      <c r="CK9" s="8">
        <v>87</v>
      </c>
      <c r="CL9" s="8">
        <v>88</v>
      </c>
      <c r="CM9" s="8">
        <v>89</v>
      </c>
      <c r="CN9" s="8">
        <v>90</v>
      </c>
      <c r="CO9" s="8">
        <v>91</v>
      </c>
      <c r="CP9" s="8">
        <v>92</v>
      </c>
      <c r="CQ9" s="8">
        <v>93</v>
      </c>
      <c r="CR9" s="8">
        <v>94</v>
      </c>
      <c r="CS9" s="8">
        <v>95</v>
      </c>
      <c r="CT9" s="8">
        <v>96</v>
      </c>
      <c r="CU9" s="8">
        <v>97</v>
      </c>
      <c r="CV9" s="8">
        <v>98</v>
      </c>
      <c r="CW9" s="8">
        <v>99</v>
      </c>
      <c r="CX9" s="8">
        <v>100</v>
      </c>
      <c r="CY9" s="8">
        <v>101</v>
      </c>
      <c r="CZ9" s="8">
        <v>102</v>
      </c>
      <c r="DA9" s="8">
        <v>103</v>
      </c>
      <c r="DB9" s="8">
        <v>104</v>
      </c>
      <c r="DC9" s="8">
        <v>105</v>
      </c>
      <c r="DD9" s="8">
        <v>106</v>
      </c>
      <c r="DE9" s="8">
        <v>107</v>
      </c>
      <c r="DF9" s="8">
        <v>108</v>
      </c>
      <c r="DG9" s="8">
        <v>109</v>
      </c>
      <c r="DH9" s="8">
        <v>110</v>
      </c>
      <c r="DI9" s="8">
        <v>111</v>
      </c>
      <c r="DJ9" s="8">
        <v>112</v>
      </c>
      <c r="DK9" s="8">
        <v>113</v>
      </c>
      <c r="DL9" s="8">
        <v>114</v>
      </c>
      <c r="DM9" s="8">
        <v>115</v>
      </c>
      <c r="DN9" s="8">
        <v>116</v>
      </c>
      <c r="DO9" s="8">
        <v>117</v>
      </c>
      <c r="DP9" s="8">
        <v>118</v>
      </c>
      <c r="DQ9" s="8">
        <v>119</v>
      </c>
      <c r="DR9" s="8">
        <v>120</v>
      </c>
      <c r="DS9" s="8">
        <v>121</v>
      </c>
      <c r="DT9" s="8">
        <v>122</v>
      </c>
      <c r="DU9" s="8">
        <v>123</v>
      </c>
      <c r="DV9" s="8">
        <v>124</v>
      </c>
      <c r="DW9" s="8">
        <v>125</v>
      </c>
      <c r="DX9" s="8">
        <v>126</v>
      </c>
      <c r="DY9" s="8">
        <v>127</v>
      </c>
      <c r="DZ9" s="8">
        <v>128</v>
      </c>
      <c r="EA9" s="8">
        <v>129</v>
      </c>
      <c r="EB9" s="8">
        <v>130</v>
      </c>
      <c r="EC9" s="8">
        <v>131</v>
      </c>
      <c r="ED9" s="8">
        <v>132</v>
      </c>
      <c r="EE9" s="8">
        <v>133</v>
      </c>
      <c r="EF9" s="8">
        <v>134</v>
      </c>
      <c r="EG9" s="8">
        <v>135</v>
      </c>
      <c r="EH9" s="8">
        <v>136</v>
      </c>
      <c r="EI9" s="8">
        <v>137</v>
      </c>
      <c r="EJ9" s="8">
        <v>138</v>
      </c>
      <c r="EK9" s="8">
        <v>139</v>
      </c>
      <c r="EL9" s="8">
        <v>140</v>
      </c>
      <c r="EM9" s="8">
        <v>141</v>
      </c>
      <c r="EN9" s="8">
        <v>142</v>
      </c>
      <c r="EO9" s="8">
        <v>143</v>
      </c>
      <c r="EP9" s="8">
        <v>144</v>
      </c>
      <c r="EQ9" s="8">
        <v>145</v>
      </c>
      <c r="ER9" s="8">
        <v>146</v>
      </c>
      <c r="ES9" s="8">
        <v>147</v>
      </c>
      <c r="ET9" s="8">
        <v>148</v>
      </c>
      <c r="EU9" s="8">
        <v>149</v>
      </c>
      <c r="EV9" s="8">
        <v>150</v>
      </c>
      <c r="EW9" s="8">
        <v>151</v>
      </c>
      <c r="EX9" s="8">
        <v>152</v>
      </c>
      <c r="EY9" s="8">
        <v>153</v>
      </c>
      <c r="EZ9" s="8">
        <v>154</v>
      </c>
      <c r="FA9" s="8">
        <v>155</v>
      </c>
      <c r="FB9" s="8">
        <v>156</v>
      </c>
      <c r="FC9" s="8">
        <v>157</v>
      </c>
      <c r="FD9" s="8">
        <v>158</v>
      </c>
      <c r="FE9" s="8">
        <v>159</v>
      </c>
      <c r="FF9" s="8">
        <v>160</v>
      </c>
      <c r="FG9" s="8">
        <v>161</v>
      </c>
      <c r="FH9" s="8">
        <v>162</v>
      </c>
      <c r="FI9" s="8">
        <v>163</v>
      </c>
      <c r="FJ9" s="8">
        <v>164</v>
      </c>
      <c r="FK9" s="8">
        <v>165</v>
      </c>
      <c r="FL9" s="8">
        <v>166</v>
      </c>
      <c r="FM9" s="8">
        <v>167</v>
      </c>
      <c r="FN9" s="8">
        <v>168</v>
      </c>
      <c r="FO9" s="8">
        <v>169</v>
      </c>
      <c r="FP9" s="8">
        <v>170</v>
      </c>
      <c r="FQ9" s="8">
        <v>171</v>
      </c>
      <c r="FR9" s="8">
        <v>172</v>
      </c>
      <c r="FS9" s="8">
        <v>173</v>
      </c>
      <c r="FT9" s="8">
        <v>174</v>
      </c>
      <c r="FU9" s="8">
        <v>175</v>
      </c>
      <c r="FV9" s="8">
        <v>176</v>
      </c>
      <c r="FW9" s="8">
        <v>177</v>
      </c>
      <c r="FX9" s="8">
        <v>178</v>
      </c>
      <c r="FY9" s="8">
        <v>179</v>
      </c>
      <c r="FZ9" s="8">
        <v>180</v>
      </c>
      <c r="GA9" s="8">
        <v>181</v>
      </c>
      <c r="GB9" s="8">
        <v>182</v>
      </c>
      <c r="GC9" s="8">
        <v>183</v>
      </c>
      <c r="GD9" s="8">
        <v>184</v>
      </c>
      <c r="GE9" s="8">
        <v>185</v>
      </c>
      <c r="GF9" s="8">
        <v>186</v>
      </c>
      <c r="GG9" s="8">
        <v>187</v>
      </c>
      <c r="GH9" s="8">
        <v>188</v>
      </c>
      <c r="GI9" s="8">
        <v>189</v>
      </c>
      <c r="GJ9" s="8">
        <v>190</v>
      </c>
      <c r="GK9" s="8">
        <v>191</v>
      </c>
      <c r="GL9" s="8">
        <v>192</v>
      </c>
      <c r="GM9" s="8">
        <v>193</v>
      </c>
      <c r="GN9" s="8">
        <v>194</v>
      </c>
      <c r="GO9" s="8">
        <v>195</v>
      </c>
      <c r="GP9" s="8">
        <v>196</v>
      </c>
      <c r="GQ9" s="8">
        <v>197</v>
      </c>
      <c r="GR9" s="8">
        <v>198</v>
      </c>
      <c r="GS9" s="8">
        <v>199</v>
      </c>
      <c r="GT9" s="8">
        <v>200</v>
      </c>
      <c r="GU9" s="8">
        <v>201</v>
      </c>
      <c r="GV9" s="8">
        <v>202</v>
      </c>
      <c r="GW9" s="8">
        <v>203</v>
      </c>
      <c r="GX9" s="8">
        <v>204</v>
      </c>
      <c r="GY9" s="8">
        <v>205</v>
      </c>
      <c r="GZ9" s="8">
        <v>206</v>
      </c>
      <c r="HA9" s="8">
        <v>207</v>
      </c>
      <c r="HB9" s="8">
        <v>208</v>
      </c>
      <c r="HC9" s="8">
        <v>209</v>
      </c>
      <c r="HD9" s="8">
        <v>210</v>
      </c>
      <c r="HE9" s="8">
        <v>211</v>
      </c>
      <c r="HF9" s="8">
        <v>212</v>
      </c>
      <c r="HG9" s="8">
        <v>213</v>
      </c>
      <c r="HH9" s="8">
        <v>214</v>
      </c>
      <c r="HI9" s="8">
        <v>215</v>
      </c>
      <c r="HJ9" s="8">
        <v>216</v>
      </c>
      <c r="HK9" s="8">
        <v>217</v>
      </c>
      <c r="HL9" s="8">
        <v>218</v>
      </c>
      <c r="HM9" s="8">
        <v>219</v>
      </c>
      <c r="HN9" s="8">
        <v>220</v>
      </c>
      <c r="HO9" s="8">
        <v>221</v>
      </c>
      <c r="HP9" s="8">
        <v>222</v>
      </c>
      <c r="HQ9" s="8">
        <v>223</v>
      </c>
      <c r="HR9" s="8">
        <v>224</v>
      </c>
      <c r="HS9" s="8">
        <v>225</v>
      </c>
      <c r="HT9" s="8">
        <v>226</v>
      </c>
      <c r="HU9" s="8">
        <v>227</v>
      </c>
      <c r="HV9" s="8">
        <v>228</v>
      </c>
      <c r="HW9" s="8">
        <v>229</v>
      </c>
      <c r="HX9" s="8">
        <v>230</v>
      </c>
      <c r="HY9" s="8">
        <v>231</v>
      </c>
      <c r="HZ9" s="8">
        <v>232</v>
      </c>
      <c r="IA9" s="8">
        <v>233</v>
      </c>
      <c r="IB9" s="8">
        <v>234</v>
      </c>
      <c r="IC9" s="8">
        <v>235</v>
      </c>
      <c r="ID9" s="8">
        <v>236</v>
      </c>
      <c r="IE9" s="8">
        <v>237</v>
      </c>
      <c r="IF9" s="8">
        <v>238</v>
      </c>
      <c r="IG9" s="8">
        <v>239</v>
      </c>
      <c r="IH9" s="8">
        <v>240</v>
      </c>
      <c r="II9" s="8">
        <v>241</v>
      </c>
      <c r="IJ9" s="8">
        <v>242</v>
      </c>
      <c r="IK9" s="8">
        <v>243</v>
      </c>
      <c r="IL9" s="8">
        <v>244</v>
      </c>
      <c r="IM9" s="8">
        <v>245</v>
      </c>
      <c r="IN9" s="8">
        <v>246</v>
      </c>
      <c r="IO9" s="8">
        <v>247</v>
      </c>
      <c r="IP9" s="8">
        <v>248</v>
      </c>
      <c r="IQ9" s="8">
        <v>249</v>
      </c>
      <c r="IR9" s="8">
        <v>250</v>
      </c>
      <c r="IS9" s="8">
        <v>251</v>
      </c>
      <c r="IT9" s="8">
        <v>252</v>
      </c>
      <c r="IU9" s="8">
        <v>253</v>
      </c>
      <c r="IV9" s="8">
        <v>254</v>
      </c>
      <c r="IW9" s="8">
        <v>255</v>
      </c>
      <c r="IX9" s="8">
        <v>256</v>
      </c>
      <c r="IY9" s="8">
        <v>257</v>
      </c>
      <c r="IZ9" s="8">
        <v>258</v>
      </c>
      <c r="JA9" s="8">
        <v>259</v>
      </c>
      <c r="JB9" s="8">
        <v>260</v>
      </c>
      <c r="JC9" s="8">
        <v>261</v>
      </c>
      <c r="JD9" s="8">
        <v>262</v>
      </c>
      <c r="JE9" s="8">
        <v>263</v>
      </c>
      <c r="JF9" s="8">
        <v>264</v>
      </c>
      <c r="JG9" s="8">
        <v>265</v>
      </c>
      <c r="JH9" s="8">
        <v>266</v>
      </c>
      <c r="JI9" s="8">
        <v>267</v>
      </c>
      <c r="JJ9" s="8">
        <v>268</v>
      </c>
      <c r="JK9" s="8">
        <v>269</v>
      </c>
      <c r="JL9" s="8">
        <v>270</v>
      </c>
      <c r="JM9" s="8">
        <v>271</v>
      </c>
      <c r="JN9" s="8">
        <v>272</v>
      </c>
      <c r="JO9" s="8">
        <v>273</v>
      </c>
      <c r="JP9" s="8">
        <v>274</v>
      </c>
      <c r="JQ9" s="8">
        <v>275</v>
      </c>
      <c r="JR9" s="8">
        <v>276</v>
      </c>
      <c r="JS9" s="8">
        <v>277</v>
      </c>
      <c r="JT9" s="8">
        <v>278</v>
      </c>
      <c r="JU9" s="8">
        <v>279</v>
      </c>
      <c r="JV9" s="8">
        <v>280</v>
      </c>
      <c r="JW9" s="8">
        <v>281</v>
      </c>
      <c r="JX9" s="8">
        <v>282</v>
      </c>
      <c r="JY9" s="8">
        <v>283</v>
      </c>
      <c r="JZ9" s="8">
        <v>284</v>
      </c>
      <c r="KA9" s="8">
        <v>285</v>
      </c>
      <c r="KB9" s="8">
        <v>286</v>
      </c>
      <c r="KC9" s="8">
        <v>287</v>
      </c>
      <c r="KD9" s="8">
        <v>288</v>
      </c>
      <c r="KE9" s="8">
        <v>289</v>
      </c>
      <c r="KF9" s="8">
        <v>290</v>
      </c>
      <c r="KG9" s="8">
        <v>291</v>
      </c>
      <c r="KH9" s="8">
        <v>292</v>
      </c>
      <c r="KI9" s="8">
        <v>293</v>
      </c>
      <c r="KJ9" s="8">
        <v>294</v>
      </c>
      <c r="KK9" s="8">
        <v>295</v>
      </c>
      <c r="KL9" s="8">
        <v>296</v>
      </c>
      <c r="KM9" s="8">
        <v>297</v>
      </c>
      <c r="KN9" s="8">
        <v>298</v>
      </c>
      <c r="KO9" s="8">
        <v>299</v>
      </c>
      <c r="KP9" s="8">
        <v>300</v>
      </c>
      <c r="KQ9" s="8">
        <v>301</v>
      </c>
      <c r="KR9" s="8">
        <v>302</v>
      </c>
      <c r="KS9" s="8">
        <v>303</v>
      </c>
      <c r="KT9" s="8">
        <v>304</v>
      </c>
      <c r="KU9" s="8">
        <v>305</v>
      </c>
      <c r="KV9" s="8">
        <v>306</v>
      </c>
      <c r="KW9" s="8">
        <v>307</v>
      </c>
      <c r="KX9" s="8">
        <v>308</v>
      </c>
      <c r="KY9" s="8">
        <v>309</v>
      </c>
      <c r="KZ9" s="8">
        <v>310</v>
      </c>
      <c r="LA9" s="8">
        <v>311</v>
      </c>
      <c r="LB9" s="8">
        <v>312</v>
      </c>
      <c r="LC9" s="8">
        <v>313</v>
      </c>
      <c r="LD9" s="8">
        <v>314</v>
      </c>
      <c r="LE9" s="8">
        <v>315</v>
      </c>
      <c r="LF9" s="8">
        <v>316</v>
      </c>
      <c r="LG9" s="8">
        <v>317</v>
      </c>
      <c r="LH9" s="8">
        <v>318</v>
      </c>
      <c r="LI9" s="8">
        <v>319</v>
      </c>
      <c r="LJ9" s="8">
        <v>320</v>
      </c>
      <c r="LK9" s="8">
        <v>321</v>
      </c>
      <c r="LL9" s="8">
        <v>322</v>
      </c>
      <c r="LM9" s="8">
        <v>323</v>
      </c>
      <c r="LN9" s="8">
        <v>324</v>
      </c>
      <c r="LO9" s="8">
        <v>325</v>
      </c>
      <c r="LP9" s="8">
        <v>326</v>
      </c>
      <c r="LQ9" s="8">
        <v>327</v>
      </c>
      <c r="LR9" s="8">
        <v>328</v>
      </c>
      <c r="LS9" s="8">
        <v>329</v>
      </c>
      <c r="LT9" s="8">
        <v>330</v>
      </c>
      <c r="LU9" s="8">
        <v>331</v>
      </c>
      <c r="LV9" s="8">
        <v>332</v>
      </c>
      <c r="LW9" s="8">
        <v>333</v>
      </c>
      <c r="LX9" s="8">
        <v>334</v>
      </c>
      <c r="LY9" s="8">
        <v>335</v>
      </c>
      <c r="LZ9" s="8">
        <v>336</v>
      </c>
      <c r="MA9" s="8">
        <v>337</v>
      </c>
      <c r="MB9" s="8">
        <v>338</v>
      </c>
      <c r="MC9" s="8">
        <v>339</v>
      </c>
      <c r="MD9" s="8">
        <v>340</v>
      </c>
      <c r="ME9" s="8">
        <v>341</v>
      </c>
      <c r="MF9" s="8">
        <v>342</v>
      </c>
      <c r="MG9" s="8">
        <v>343</v>
      </c>
      <c r="MH9" s="8">
        <v>344</v>
      </c>
      <c r="MI9" s="8">
        <v>345</v>
      </c>
      <c r="MJ9" s="8">
        <v>346</v>
      </c>
      <c r="MK9" s="8">
        <v>347</v>
      </c>
      <c r="ML9" s="8">
        <v>348</v>
      </c>
      <c r="MM9" s="8">
        <v>349</v>
      </c>
      <c r="MN9" s="8">
        <v>350</v>
      </c>
      <c r="MO9" s="8">
        <v>351</v>
      </c>
      <c r="MP9" s="8">
        <v>352</v>
      </c>
      <c r="MQ9" s="8">
        <v>353</v>
      </c>
      <c r="MR9" s="8">
        <v>354</v>
      </c>
      <c r="MS9" s="8">
        <v>355</v>
      </c>
      <c r="MT9" s="8">
        <v>356</v>
      </c>
      <c r="MU9" s="8">
        <v>357</v>
      </c>
      <c r="MV9" s="8">
        <v>358</v>
      </c>
      <c r="MW9" s="8">
        <v>359</v>
      </c>
      <c r="MX9" s="8">
        <v>360</v>
      </c>
      <c r="MY9" s="8">
        <v>361</v>
      </c>
      <c r="MZ9" s="8">
        <v>362</v>
      </c>
      <c r="NA9" s="8">
        <v>363</v>
      </c>
      <c r="NB9" s="8">
        <v>364</v>
      </c>
      <c r="NC9" s="8">
        <v>365</v>
      </c>
      <c r="ND9" s="8">
        <v>366</v>
      </c>
      <c r="NE9" s="8">
        <v>367</v>
      </c>
      <c r="NF9" s="8">
        <v>368</v>
      </c>
      <c r="NG9" s="8">
        <v>369</v>
      </c>
      <c r="NH9" s="8">
        <v>370</v>
      </c>
      <c r="NI9" s="8">
        <v>371</v>
      </c>
      <c r="NJ9" s="8">
        <v>372</v>
      </c>
      <c r="NK9" s="8">
        <v>373</v>
      </c>
      <c r="NL9" s="8">
        <v>374</v>
      </c>
      <c r="NM9" s="8">
        <v>375</v>
      </c>
      <c r="NN9" s="8">
        <v>376</v>
      </c>
      <c r="NO9" s="8">
        <v>377</v>
      </c>
      <c r="NP9" s="8">
        <v>378</v>
      </c>
      <c r="NQ9" s="8">
        <v>379</v>
      </c>
      <c r="NR9" s="8">
        <v>380</v>
      </c>
      <c r="NS9" s="8">
        <v>381</v>
      </c>
      <c r="NT9" s="8">
        <v>382</v>
      </c>
      <c r="NU9" s="8">
        <v>383</v>
      </c>
      <c r="NV9" s="8">
        <v>384</v>
      </c>
      <c r="NW9" s="8">
        <v>385</v>
      </c>
      <c r="NX9" s="8">
        <v>386</v>
      </c>
      <c r="NY9" s="8">
        <v>387</v>
      </c>
      <c r="NZ9" s="8">
        <v>388</v>
      </c>
      <c r="OA9" s="8">
        <v>389</v>
      </c>
      <c r="OB9" s="8">
        <v>390</v>
      </c>
      <c r="OC9" s="8">
        <v>391</v>
      </c>
      <c r="OD9" s="8">
        <v>392</v>
      </c>
      <c r="OE9" s="8">
        <v>393</v>
      </c>
      <c r="OF9" s="8">
        <v>394</v>
      </c>
      <c r="OG9" s="8">
        <v>395</v>
      </c>
      <c r="OH9" s="8">
        <v>396</v>
      </c>
      <c r="OI9" s="8">
        <v>397</v>
      </c>
      <c r="OJ9" s="8">
        <v>398</v>
      </c>
      <c r="OK9" s="8">
        <v>399</v>
      </c>
      <c r="OL9" s="8">
        <v>400</v>
      </c>
      <c r="OM9" s="8">
        <v>401</v>
      </c>
      <c r="ON9" s="8">
        <v>402</v>
      </c>
      <c r="OO9" s="8">
        <v>403</v>
      </c>
      <c r="OP9" s="8">
        <v>404</v>
      </c>
      <c r="OQ9" s="8">
        <v>405</v>
      </c>
      <c r="OR9" s="8">
        <v>406</v>
      </c>
      <c r="OS9" s="8">
        <v>407</v>
      </c>
      <c r="OT9" s="8">
        <v>408</v>
      </c>
      <c r="OU9" s="8">
        <v>409</v>
      </c>
      <c r="OV9" s="8">
        <v>410</v>
      </c>
      <c r="OW9" s="8">
        <v>411</v>
      </c>
      <c r="OX9" s="8">
        <v>412</v>
      </c>
      <c r="OY9" s="8">
        <v>413</v>
      </c>
      <c r="OZ9" s="8">
        <v>414</v>
      </c>
      <c r="PA9" s="8">
        <v>415</v>
      </c>
      <c r="PB9" s="8">
        <v>416</v>
      </c>
      <c r="PC9" s="8">
        <v>417</v>
      </c>
      <c r="PD9" s="8">
        <v>418</v>
      </c>
      <c r="PE9" s="8">
        <v>419</v>
      </c>
      <c r="PF9" s="8">
        <v>420</v>
      </c>
      <c r="PG9" s="8">
        <v>421</v>
      </c>
      <c r="PH9" s="8">
        <v>422</v>
      </c>
      <c r="PI9" s="8">
        <v>423</v>
      </c>
      <c r="PJ9" s="8">
        <v>424</v>
      </c>
      <c r="PK9" s="8">
        <v>425</v>
      </c>
      <c r="PL9" s="8">
        <v>426</v>
      </c>
      <c r="PM9" s="8">
        <v>427</v>
      </c>
      <c r="PN9" s="8">
        <v>428</v>
      </c>
      <c r="PO9" s="8">
        <v>429</v>
      </c>
      <c r="PP9" s="8">
        <v>430</v>
      </c>
      <c r="PQ9" s="8">
        <v>431</v>
      </c>
      <c r="PR9" s="8">
        <v>432</v>
      </c>
      <c r="PS9" s="8">
        <v>433</v>
      </c>
      <c r="PT9" s="8">
        <v>434</v>
      </c>
      <c r="PU9" s="8">
        <v>435</v>
      </c>
      <c r="PV9" s="8">
        <v>436</v>
      </c>
      <c r="PW9" s="8">
        <v>437</v>
      </c>
      <c r="PX9" s="8">
        <v>438</v>
      </c>
      <c r="PY9" s="8">
        <v>439</v>
      </c>
      <c r="PZ9" s="8">
        <v>440</v>
      </c>
      <c r="QA9" s="8">
        <v>441</v>
      </c>
      <c r="QB9" s="8">
        <v>442</v>
      </c>
      <c r="QC9" s="8">
        <v>443</v>
      </c>
      <c r="QD9" s="8">
        <v>444</v>
      </c>
      <c r="QE9" s="8">
        <v>445</v>
      </c>
      <c r="QF9" s="8">
        <v>446</v>
      </c>
      <c r="QG9" s="8">
        <v>447</v>
      </c>
      <c r="QH9" s="8">
        <v>448</v>
      </c>
      <c r="QI9" s="8">
        <v>449</v>
      </c>
      <c r="QJ9" s="8">
        <v>450</v>
      </c>
      <c r="QK9" s="8">
        <v>451</v>
      </c>
      <c r="QL9" s="8">
        <v>452</v>
      </c>
      <c r="QM9" s="8">
        <v>453</v>
      </c>
      <c r="QN9" s="8">
        <v>454</v>
      </c>
      <c r="QO9" s="8">
        <v>455</v>
      </c>
      <c r="QP9" s="8">
        <v>456</v>
      </c>
      <c r="QQ9" s="8">
        <v>457</v>
      </c>
      <c r="QR9" s="8">
        <v>458</v>
      </c>
      <c r="QS9" s="8">
        <v>459</v>
      </c>
      <c r="QT9" s="8">
        <v>460</v>
      </c>
      <c r="QU9" s="8">
        <v>461</v>
      </c>
      <c r="QV9" s="8">
        <v>462</v>
      </c>
      <c r="QW9" s="8">
        <v>463</v>
      </c>
      <c r="QX9" s="8">
        <v>464</v>
      </c>
      <c r="QY9" s="8">
        <v>465</v>
      </c>
      <c r="QZ9" s="8">
        <v>466</v>
      </c>
      <c r="RA9" s="8">
        <v>467</v>
      </c>
      <c r="RB9" s="8">
        <v>468</v>
      </c>
      <c r="RC9" s="8">
        <v>469</v>
      </c>
      <c r="RD9" s="8">
        <v>470</v>
      </c>
      <c r="RE9" s="8">
        <v>471</v>
      </c>
      <c r="RF9" s="8">
        <v>472</v>
      </c>
      <c r="RG9" s="8">
        <v>473</v>
      </c>
      <c r="RH9" s="8">
        <v>474</v>
      </c>
      <c r="RI9" s="8">
        <v>475</v>
      </c>
      <c r="RJ9" s="8">
        <v>476</v>
      </c>
      <c r="RK9" s="8">
        <v>477</v>
      </c>
      <c r="RL9" s="8">
        <v>478</v>
      </c>
      <c r="RM9" s="8">
        <v>479</v>
      </c>
      <c r="RN9" s="8">
        <v>480</v>
      </c>
      <c r="RO9" s="8">
        <v>481</v>
      </c>
      <c r="RP9" s="8">
        <v>482</v>
      </c>
      <c r="RQ9" s="8">
        <v>483</v>
      </c>
      <c r="RR9" s="8">
        <v>484</v>
      </c>
      <c r="RS9" s="8">
        <v>485</v>
      </c>
      <c r="RT9" s="8">
        <v>486</v>
      </c>
      <c r="RU9" s="8">
        <v>487</v>
      </c>
      <c r="RV9" s="8">
        <v>488</v>
      </c>
      <c r="RW9" s="8">
        <v>489</v>
      </c>
      <c r="RX9" s="8">
        <v>490</v>
      </c>
      <c r="RY9" s="8">
        <v>491</v>
      </c>
      <c r="RZ9" s="8">
        <v>492</v>
      </c>
      <c r="SA9" s="8">
        <v>493</v>
      </c>
      <c r="SB9" s="8">
        <v>494</v>
      </c>
      <c r="SC9" s="8">
        <v>495</v>
      </c>
      <c r="SD9" s="8">
        <v>496</v>
      </c>
      <c r="SE9" s="8">
        <v>497</v>
      </c>
      <c r="SF9" s="8">
        <v>498</v>
      </c>
      <c r="SG9" s="8">
        <v>499</v>
      </c>
      <c r="SH9" s="8">
        <v>500</v>
      </c>
      <c r="SI9" s="8">
        <v>501</v>
      </c>
      <c r="SJ9" s="8">
        <v>502</v>
      </c>
      <c r="SK9" s="8">
        <v>503</v>
      </c>
      <c r="SL9" s="8">
        <v>504</v>
      </c>
      <c r="SM9" s="8">
        <v>505</v>
      </c>
      <c r="SN9" s="8">
        <v>506</v>
      </c>
      <c r="SO9" s="8">
        <v>507</v>
      </c>
      <c r="SP9" s="8">
        <v>508</v>
      </c>
      <c r="SQ9" s="8">
        <v>509</v>
      </c>
      <c r="SR9" s="8">
        <v>510</v>
      </c>
      <c r="SS9" s="8">
        <v>511</v>
      </c>
      <c r="ST9" s="8">
        <v>512</v>
      </c>
      <c r="SU9" s="8">
        <v>513</v>
      </c>
      <c r="SV9" s="8">
        <v>514</v>
      </c>
      <c r="SW9" s="8">
        <v>515</v>
      </c>
      <c r="SX9" s="8">
        <v>516</v>
      </c>
      <c r="SY9" s="8">
        <v>517</v>
      </c>
      <c r="SZ9" s="8">
        <v>518</v>
      </c>
      <c r="TA9" s="8">
        <v>519</v>
      </c>
      <c r="TB9" s="8">
        <v>520</v>
      </c>
      <c r="TC9" s="8">
        <v>521</v>
      </c>
      <c r="TD9" s="8">
        <v>522</v>
      </c>
      <c r="TE9" s="8">
        <v>523</v>
      </c>
      <c r="TF9" s="8">
        <v>524</v>
      </c>
      <c r="TG9" s="8">
        <v>525</v>
      </c>
      <c r="TH9" s="8">
        <v>526</v>
      </c>
      <c r="TI9" s="8">
        <v>527</v>
      </c>
      <c r="TJ9" s="8">
        <v>528</v>
      </c>
      <c r="TK9" s="8">
        <v>529</v>
      </c>
      <c r="TL9" s="8">
        <v>530</v>
      </c>
      <c r="TM9" s="8">
        <v>531</v>
      </c>
      <c r="TN9" s="8">
        <v>532</v>
      </c>
      <c r="TO9" s="8">
        <v>533</v>
      </c>
      <c r="TP9" s="8">
        <v>534</v>
      </c>
      <c r="TQ9" s="8">
        <v>535</v>
      </c>
      <c r="TR9" s="8">
        <v>536</v>
      </c>
      <c r="TS9" s="8">
        <v>537</v>
      </c>
      <c r="TT9" s="8">
        <v>538</v>
      </c>
      <c r="TU9" s="8">
        <v>539</v>
      </c>
      <c r="TV9" s="8">
        <v>540</v>
      </c>
      <c r="TW9" s="8">
        <v>541</v>
      </c>
      <c r="TX9" s="8">
        <v>542</v>
      </c>
      <c r="TY9" s="8">
        <v>543</v>
      </c>
      <c r="TZ9" s="8">
        <v>544</v>
      </c>
      <c r="UA9" s="8">
        <v>545</v>
      </c>
      <c r="UB9" s="8">
        <v>546</v>
      </c>
      <c r="UC9" s="8">
        <v>547</v>
      </c>
      <c r="UD9" s="8">
        <v>548</v>
      </c>
      <c r="UE9" s="8">
        <v>549</v>
      </c>
      <c r="UF9" s="8">
        <v>550</v>
      </c>
      <c r="UG9" s="8">
        <v>551</v>
      </c>
      <c r="UH9" s="8">
        <v>552</v>
      </c>
      <c r="UI9" s="8">
        <v>553</v>
      </c>
      <c r="UJ9" s="8">
        <v>554</v>
      </c>
      <c r="UK9" s="8">
        <v>555</v>
      </c>
      <c r="UL9" s="8">
        <v>556</v>
      </c>
      <c r="UM9" s="8">
        <v>557</v>
      </c>
      <c r="UN9" s="8">
        <v>558</v>
      </c>
      <c r="UO9" s="8">
        <v>559</v>
      </c>
      <c r="UP9" s="8">
        <v>560</v>
      </c>
      <c r="UQ9" s="8">
        <v>561</v>
      </c>
      <c r="UR9" s="8">
        <v>562</v>
      </c>
      <c r="US9" s="8">
        <v>563</v>
      </c>
      <c r="UT9" s="8">
        <v>564</v>
      </c>
      <c r="UU9" s="8">
        <v>565</v>
      </c>
      <c r="UV9" s="8">
        <v>566</v>
      </c>
      <c r="UW9" s="8">
        <v>567</v>
      </c>
      <c r="UX9" s="8">
        <v>568</v>
      </c>
      <c r="UY9" s="8">
        <v>569</v>
      </c>
      <c r="UZ9" s="8">
        <v>570</v>
      </c>
      <c r="VA9" s="8">
        <v>571</v>
      </c>
      <c r="VB9" s="8">
        <v>572</v>
      </c>
      <c r="VC9" s="8">
        <v>573</v>
      </c>
      <c r="VD9" s="8">
        <v>574</v>
      </c>
      <c r="VE9" s="8">
        <v>575</v>
      </c>
      <c r="VF9" s="8">
        <v>576</v>
      </c>
      <c r="VG9" s="8">
        <v>577</v>
      </c>
      <c r="VH9" s="8">
        <v>578</v>
      </c>
      <c r="VI9" s="8">
        <v>579</v>
      </c>
      <c r="VJ9" s="8">
        <v>580</v>
      </c>
      <c r="VK9" s="8">
        <v>581</v>
      </c>
      <c r="VL9" s="8">
        <v>582</v>
      </c>
      <c r="VM9" s="8">
        <v>583</v>
      </c>
      <c r="VN9" s="8">
        <v>584</v>
      </c>
      <c r="VO9" s="8">
        <v>585</v>
      </c>
      <c r="VP9" s="8">
        <v>586</v>
      </c>
      <c r="VQ9" s="8">
        <v>587</v>
      </c>
      <c r="VR9" s="8">
        <v>588</v>
      </c>
      <c r="VS9" s="8">
        <v>589</v>
      </c>
      <c r="VT9" s="8">
        <v>590</v>
      </c>
      <c r="VU9" s="8">
        <v>591</v>
      </c>
      <c r="VV9" s="8">
        <v>592</v>
      </c>
      <c r="VW9" s="8">
        <v>593</v>
      </c>
      <c r="VX9" s="8">
        <v>594</v>
      </c>
      <c r="VY9" s="8">
        <v>595</v>
      </c>
      <c r="VZ9" s="8">
        <v>596</v>
      </c>
      <c r="WA9" s="8">
        <v>597</v>
      </c>
      <c r="WB9" s="8">
        <v>598</v>
      </c>
      <c r="WC9" s="8">
        <v>599</v>
      </c>
      <c r="WD9" s="8">
        <v>600</v>
      </c>
      <c r="WE9" s="8">
        <v>601</v>
      </c>
      <c r="WF9" s="8">
        <v>602</v>
      </c>
      <c r="WG9" s="8">
        <v>603</v>
      </c>
      <c r="WH9" s="8">
        <v>604</v>
      </c>
      <c r="WI9" s="8">
        <v>605</v>
      </c>
      <c r="WJ9" s="8">
        <v>606</v>
      </c>
      <c r="WK9" s="8">
        <v>607</v>
      </c>
      <c r="WL9" s="8">
        <v>608</v>
      </c>
      <c r="WM9" s="8">
        <v>609</v>
      </c>
      <c r="WN9" s="8">
        <v>610</v>
      </c>
      <c r="WO9" s="8">
        <v>611</v>
      </c>
      <c r="WP9" s="8">
        <v>612</v>
      </c>
      <c r="WQ9" s="8">
        <v>613</v>
      </c>
      <c r="WR9" s="8">
        <v>614</v>
      </c>
      <c r="WS9" s="8">
        <v>615</v>
      </c>
      <c r="WT9" s="8">
        <v>616</v>
      </c>
      <c r="WU9" s="8">
        <v>617</v>
      </c>
      <c r="WV9" s="8">
        <v>618</v>
      </c>
      <c r="WW9" s="8">
        <v>619</v>
      </c>
      <c r="WX9" s="8">
        <v>620</v>
      </c>
      <c r="WY9" s="8">
        <v>621</v>
      </c>
      <c r="WZ9" s="8">
        <v>622</v>
      </c>
      <c r="XA9" s="8">
        <v>623</v>
      </c>
      <c r="XB9" s="8">
        <v>624</v>
      </c>
      <c r="XC9" s="8">
        <v>625</v>
      </c>
      <c r="XD9" s="8">
        <v>626</v>
      </c>
      <c r="XE9" s="8">
        <v>627</v>
      </c>
      <c r="XF9" s="8">
        <v>628</v>
      </c>
      <c r="XG9" s="8">
        <v>629</v>
      </c>
      <c r="XH9" s="8">
        <v>630</v>
      </c>
      <c r="XI9" s="8">
        <v>631</v>
      </c>
      <c r="XJ9" s="8">
        <v>632</v>
      </c>
      <c r="XK9" s="8">
        <v>633</v>
      </c>
      <c r="XL9" s="8">
        <v>634</v>
      </c>
      <c r="XM9" s="8">
        <v>635</v>
      </c>
      <c r="XN9" s="8">
        <v>636</v>
      </c>
      <c r="XO9" s="8">
        <v>637</v>
      </c>
      <c r="XP9" s="8">
        <v>638</v>
      </c>
      <c r="XQ9" s="8">
        <v>639</v>
      </c>
      <c r="XR9" s="8">
        <v>640</v>
      </c>
      <c r="XS9" s="8">
        <v>641</v>
      </c>
      <c r="XT9" s="8">
        <v>642</v>
      </c>
      <c r="XU9" s="8">
        <v>643</v>
      </c>
      <c r="XV9" s="8">
        <v>644</v>
      </c>
      <c r="XW9" s="8">
        <v>645</v>
      </c>
      <c r="XX9" s="8">
        <v>646</v>
      </c>
      <c r="XY9" s="8">
        <v>647</v>
      </c>
      <c r="XZ9" s="8">
        <v>648</v>
      </c>
      <c r="YA9" s="8">
        <v>649</v>
      </c>
      <c r="YB9" s="8">
        <v>650</v>
      </c>
      <c r="YC9" s="8">
        <v>651</v>
      </c>
      <c r="YD9" s="8">
        <v>652</v>
      </c>
      <c r="YE9" s="8">
        <v>653</v>
      </c>
      <c r="YF9" s="8">
        <v>654</v>
      </c>
      <c r="YG9" s="8">
        <v>655</v>
      </c>
      <c r="YH9" s="8">
        <v>656</v>
      </c>
      <c r="YI9" s="8">
        <v>657</v>
      </c>
      <c r="YJ9" s="8">
        <v>658</v>
      </c>
      <c r="YK9" s="8">
        <v>659</v>
      </c>
      <c r="YL9" s="8">
        <v>660</v>
      </c>
      <c r="YM9" s="8">
        <v>661</v>
      </c>
      <c r="YN9" s="8">
        <v>662</v>
      </c>
      <c r="YO9" s="8">
        <v>663</v>
      </c>
      <c r="YP9" s="8">
        <v>664</v>
      </c>
      <c r="YQ9" s="8">
        <v>665</v>
      </c>
      <c r="YR9" s="8">
        <v>666</v>
      </c>
      <c r="YS9" s="8">
        <v>667</v>
      </c>
      <c r="YT9" s="8">
        <v>668</v>
      </c>
      <c r="YU9" s="8">
        <v>669</v>
      </c>
      <c r="YV9" s="8">
        <v>670</v>
      </c>
      <c r="YW9" s="8">
        <v>671</v>
      </c>
      <c r="YX9" s="8">
        <v>672</v>
      </c>
      <c r="YY9" s="8">
        <v>673</v>
      </c>
      <c r="YZ9" s="8">
        <v>674</v>
      </c>
      <c r="ZA9" s="8">
        <v>675</v>
      </c>
      <c r="ZB9" s="8">
        <v>676</v>
      </c>
      <c r="ZC9" s="8">
        <v>677</v>
      </c>
      <c r="ZD9" s="8">
        <v>678</v>
      </c>
      <c r="ZE9" s="8">
        <v>679</v>
      </c>
      <c r="ZF9" s="8">
        <v>680</v>
      </c>
      <c r="ZG9" s="8">
        <v>681</v>
      </c>
      <c r="ZH9" s="8">
        <v>682</v>
      </c>
      <c r="ZI9" s="8">
        <v>683</v>
      </c>
      <c r="ZJ9" s="8">
        <v>684</v>
      </c>
      <c r="ZK9" s="8">
        <v>685</v>
      </c>
      <c r="ZL9" s="8">
        <v>686</v>
      </c>
      <c r="ZM9" s="8">
        <v>687</v>
      </c>
      <c r="ZN9" s="8">
        <v>688</v>
      </c>
      <c r="ZO9" s="8">
        <v>689</v>
      </c>
      <c r="ZP9" s="8">
        <v>690</v>
      </c>
      <c r="ZQ9" s="8">
        <v>691</v>
      </c>
      <c r="ZR9" s="8">
        <v>692</v>
      </c>
      <c r="ZS9" s="8">
        <v>693</v>
      </c>
      <c r="ZT9" s="8">
        <v>694</v>
      </c>
      <c r="ZU9" s="8">
        <v>695</v>
      </c>
      <c r="ZV9" s="8">
        <v>696</v>
      </c>
      <c r="ZW9" s="8">
        <v>697</v>
      </c>
      <c r="ZX9" s="8">
        <v>698</v>
      </c>
      <c r="ZY9" s="8">
        <v>699</v>
      </c>
      <c r="ZZ9" s="8">
        <v>700</v>
      </c>
      <c r="AAA9" s="8">
        <v>701</v>
      </c>
      <c r="AAB9" s="8">
        <v>702</v>
      </c>
      <c r="AAC9" s="8">
        <v>703</v>
      </c>
      <c r="AAD9" s="8">
        <v>704</v>
      </c>
      <c r="AAE9" s="8">
        <v>705</v>
      </c>
      <c r="AAF9" s="8">
        <v>706</v>
      </c>
      <c r="AAG9" s="8">
        <v>707</v>
      </c>
      <c r="AAH9" s="8">
        <v>708</v>
      </c>
      <c r="AAI9" s="8">
        <v>709</v>
      </c>
      <c r="AAJ9" s="8">
        <v>710</v>
      </c>
      <c r="AAK9" s="8">
        <v>711</v>
      </c>
      <c r="AAL9" s="8">
        <v>712</v>
      </c>
      <c r="AAM9" s="8">
        <v>713</v>
      </c>
      <c r="AAN9" s="8">
        <v>714</v>
      </c>
      <c r="AAO9" s="8">
        <v>715</v>
      </c>
      <c r="AAP9" s="8">
        <v>716</v>
      </c>
      <c r="AAQ9" s="8">
        <v>717</v>
      </c>
      <c r="AAR9" s="8">
        <v>718</v>
      </c>
      <c r="AAS9" s="8">
        <v>719</v>
      </c>
      <c r="AAT9" s="8">
        <v>720</v>
      </c>
      <c r="AAU9" s="8">
        <v>721</v>
      </c>
      <c r="AAV9" s="8">
        <v>722</v>
      </c>
      <c r="AAW9" s="8">
        <v>723</v>
      </c>
      <c r="AAX9" s="8">
        <v>724</v>
      </c>
      <c r="AAY9" s="8">
        <v>725</v>
      </c>
      <c r="AAZ9" s="8">
        <v>726</v>
      </c>
      <c r="ABA9" s="8">
        <v>727</v>
      </c>
      <c r="ABB9" s="8">
        <v>728</v>
      </c>
      <c r="ABC9" s="8">
        <v>729</v>
      </c>
      <c r="ABD9" s="8">
        <v>730</v>
      </c>
      <c r="ABE9" s="8">
        <v>731</v>
      </c>
      <c r="ABF9" s="8">
        <v>732</v>
      </c>
      <c r="ABG9" s="8">
        <v>733</v>
      </c>
      <c r="ABH9" s="8">
        <v>734</v>
      </c>
      <c r="ABI9" s="8">
        <v>735</v>
      </c>
      <c r="ABJ9" s="8">
        <v>736</v>
      </c>
      <c r="ABK9" s="8">
        <v>737</v>
      </c>
      <c r="ABL9" s="8">
        <v>738</v>
      </c>
      <c r="ABM9" s="8">
        <v>739</v>
      </c>
      <c r="ABN9" s="8">
        <v>740</v>
      </c>
      <c r="ABO9" s="8">
        <v>741</v>
      </c>
      <c r="ABP9" s="8">
        <v>742</v>
      </c>
      <c r="ABQ9" s="8">
        <v>743</v>
      </c>
      <c r="ABR9" s="8">
        <v>744</v>
      </c>
      <c r="ABS9" s="8">
        <v>745</v>
      </c>
      <c r="ABT9" s="8">
        <v>746</v>
      </c>
      <c r="ABU9" s="8">
        <v>747</v>
      </c>
      <c r="ABV9" s="8">
        <v>748</v>
      </c>
      <c r="ABW9" s="8">
        <v>749</v>
      </c>
      <c r="ABX9" s="8">
        <v>750</v>
      </c>
      <c r="ABY9" s="8">
        <v>751</v>
      </c>
      <c r="ABZ9" s="8">
        <v>752</v>
      </c>
      <c r="ACA9" s="8">
        <v>753</v>
      </c>
      <c r="ACB9" s="8">
        <v>754</v>
      </c>
      <c r="ACC9" s="8">
        <v>755</v>
      </c>
      <c r="ACD9" s="8">
        <v>756</v>
      </c>
      <c r="ACE9" s="8">
        <v>757</v>
      </c>
      <c r="ACF9" s="8">
        <v>758</v>
      </c>
      <c r="ACG9" s="8">
        <v>759</v>
      </c>
      <c r="ACH9" s="8">
        <v>760</v>
      </c>
      <c r="ACI9" s="8">
        <v>761</v>
      </c>
      <c r="ACJ9" s="8">
        <v>762</v>
      </c>
      <c r="ACK9" s="8">
        <v>763</v>
      </c>
      <c r="ACL9" s="8">
        <v>764</v>
      </c>
      <c r="ACM9" s="8">
        <v>765</v>
      </c>
      <c r="ACN9" s="8">
        <v>766</v>
      </c>
      <c r="ACO9" s="8">
        <v>767</v>
      </c>
      <c r="ACP9" s="8">
        <v>768</v>
      </c>
      <c r="ACQ9" s="8">
        <v>769</v>
      </c>
      <c r="ACR9" s="8">
        <v>770</v>
      </c>
      <c r="ACS9" s="8">
        <v>771</v>
      </c>
      <c r="ACT9" s="8">
        <v>772</v>
      </c>
      <c r="ACU9" s="8">
        <v>773</v>
      </c>
      <c r="ACV9" s="8">
        <v>774</v>
      </c>
      <c r="ACW9" s="8">
        <v>775</v>
      </c>
      <c r="ACX9" s="8">
        <v>776</v>
      </c>
      <c r="ACY9" s="8">
        <v>777</v>
      </c>
      <c r="ACZ9" s="8">
        <v>778</v>
      </c>
      <c r="ADA9" s="8">
        <v>779</v>
      </c>
      <c r="ADB9" s="8">
        <v>780</v>
      </c>
      <c r="ADC9" s="8">
        <v>781</v>
      </c>
      <c r="ADD9" s="8">
        <v>782</v>
      </c>
      <c r="ADE9" s="8">
        <v>783</v>
      </c>
      <c r="ADF9" s="8">
        <v>784</v>
      </c>
      <c r="ADG9" s="8">
        <v>785</v>
      </c>
      <c r="ADH9" s="8">
        <v>786</v>
      </c>
      <c r="ADI9" s="8">
        <v>787</v>
      </c>
      <c r="ADJ9" s="8">
        <v>788</v>
      </c>
      <c r="ADK9" s="8">
        <v>789</v>
      </c>
      <c r="ADL9" s="8">
        <v>790</v>
      </c>
      <c r="ADM9" s="8">
        <v>791</v>
      </c>
      <c r="ADN9" s="8">
        <v>792</v>
      </c>
      <c r="ADO9" s="8">
        <v>793</v>
      </c>
      <c r="ADP9" s="8">
        <v>794</v>
      </c>
      <c r="ADQ9" s="8">
        <v>795</v>
      </c>
      <c r="ADR9" s="8">
        <v>796</v>
      </c>
      <c r="ADS9" s="8">
        <v>797</v>
      </c>
      <c r="ADT9" s="8">
        <v>798</v>
      </c>
      <c r="ADU9" s="8">
        <v>799</v>
      </c>
      <c r="ADV9" s="8">
        <v>800</v>
      </c>
      <c r="ADW9" s="8">
        <v>801</v>
      </c>
      <c r="ADX9" s="8">
        <v>802</v>
      </c>
      <c r="ADY9" s="8">
        <v>803</v>
      </c>
      <c r="ADZ9" s="8">
        <v>804</v>
      </c>
      <c r="AEA9" s="8">
        <v>805</v>
      </c>
      <c r="AEB9" s="8">
        <v>806</v>
      </c>
      <c r="AEC9" s="8">
        <v>807</v>
      </c>
      <c r="AED9" s="8">
        <v>808</v>
      </c>
      <c r="AEE9" s="8">
        <v>809</v>
      </c>
      <c r="AEF9" s="8">
        <v>810</v>
      </c>
      <c r="AEG9" s="8">
        <v>811</v>
      </c>
      <c r="AEH9" s="8">
        <v>812</v>
      </c>
      <c r="AEI9" s="8">
        <v>813</v>
      </c>
      <c r="AEJ9" s="8">
        <v>814</v>
      </c>
      <c r="AEK9" s="8">
        <v>815</v>
      </c>
      <c r="AEL9" s="8">
        <v>816</v>
      </c>
      <c r="AEM9" s="8">
        <v>817</v>
      </c>
      <c r="AEN9" s="8">
        <v>818</v>
      </c>
      <c r="AEO9" s="8">
        <v>819</v>
      </c>
      <c r="AEP9" s="8">
        <v>820</v>
      </c>
      <c r="AEQ9" s="8">
        <v>821</v>
      </c>
      <c r="AER9" s="8">
        <v>822</v>
      </c>
      <c r="AES9" s="8">
        <v>823</v>
      </c>
      <c r="AET9" s="8">
        <v>824</v>
      </c>
      <c r="AEU9" s="8">
        <v>825</v>
      </c>
      <c r="AEV9" s="8">
        <v>826</v>
      </c>
      <c r="AEW9" s="8">
        <v>827</v>
      </c>
      <c r="AEX9" s="8">
        <v>828</v>
      </c>
      <c r="AEY9" s="8">
        <v>829</v>
      </c>
      <c r="AEZ9" s="8">
        <v>830</v>
      </c>
      <c r="AFA9" s="8">
        <v>831</v>
      </c>
      <c r="AFB9" s="8">
        <v>832</v>
      </c>
      <c r="AFC9" s="8">
        <v>833</v>
      </c>
      <c r="AFD9" s="8">
        <v>834</v>
      </c>
      <c r="AFE9" s="8">
        <v>835</v>
      </c>
      <c r="AFF9" s="8">
        <v>836</v>
      </c>
      <c r="AFG9" s="8">
        <v>837</v>
      </c>
      <c r="AFH9" s="8">
        <v>838</v>
      </c>
      <c r="AFI9" s="8">
        <v>839</v>
      </c>
      <c r="AFJ9" s="8">
        <v>840</v>
      </c>
      <c r="AFK9" s="8">
        <v>841</v>
      </c>
      <c r="AFL9" s="8">
        <v>842</v>
      </c>
      <c r="AFM9" s="8">
        <v>843</v>
      </c>
      <c r="AFN9" s="8">
        <v>844</v>
      </c>
      <c r="AFO9" s="8">
        <v>845</v>
      </c>
      <c r="AFP9" s="8">
        <v>846</v>
      </c>
      <c r="AFQ9" s="8">
        <v>847</v>
      </c>
      <c r="AFR9" s="8">
        <v>848</v>
      </c>
      <c r="AFS9" s="8">
        <v>849</v>
      </c>
      <c r="AFT9" s="8">
        <v>850</v>
      </c>
      <c r="AFU9" s="8">
        <v>851</v>
      </c>
      <c r="AFV9" s="8">
        <v>852</v>
      </c>
      <c r="AFW9" s="8">
        <v>853</v>
      </c>
      <c r="AFX9" s="8">
        <v>854</v>
      </c>
      <c r="AFY9" s="8">
        <v>855</v>
      </c>
      <c r="AFZ9" s="8">
        <v>856</v>
      </c>
      <c r="AGA9" s="8">
        <v>857</v>
      </c>
      <c r="AGB9" s="8">
        <v>858</v>
      </c>
      <c r="AGC9" s="8">
        <v>859</v>
      </c>
      <c r="AGD9" s="8">
        <v>860</v>
      </c>
      <c r="AGE9" s="8">
        <v>861</v>
      </c>
      <c r="AGF9" s="8">
        <v>862</v>
      </c>
      <c r="AGG9" s="8">
        <v>863</v>
      </c>
      <c r="AGH9" s="8">
        <v>864</v>
      </c>
      <c r="AGI9" s="8">
        <v>865</v>
      </c>
      <c r="AGJ9" s="8">
        <v>866</v>
      </c>
      <c r="AGK9" s="8">
        <v>867</v>
      </c>
      <c r="AGL9" s="8">
        <v>868</v>
      </c>
      <c r="AGM9" s="8">
        <v>869</v>
      </c>
      <c r="AGN9" s="8">
        <v>870</v>
      </c>
      <c r="AGO9" s="8">
        <v>871</v>
      </c>
      <c r="AGP9" s="8">
        <v>872</v>
      </c>
      <c r="AGQ9" s="8">
        <v>873</v>
      </c>
      <c r="AGR9" s="8">
        <v>874</v>
      </c>
      <c r="AGS9" s="8">
        <v>875</v>
      </c>
      <c r="AGT9" s="8">
        <v>876</v>
      </c>
      <c r="AGU9" s="8">
        <v>877</v>
      </c>
      <c r="AGV9" s="8">
        <v>878</v>
      </c>
      <c r="AGW9" s="8">
        <v>879</v>
      </c>
      <c r="AGX9" s="8">
        <v>880</v>
      </c>
      <c r="AGY9" s="8">
        <v>881</v>
      </c>
      <c r="AGZ9" s="8">
        <v>882</v>
      </c>
      <c r="AHA9" s="8">
        <v>883</v>
      </c>
      <c r="AHB9" s="8">
        <v>884</v>
      </c>
      <c r="AHC9" s="8">
        <v>885</v>
      </c>
      <c r="AHD9" s="8">
        <v>886</v>
      </c>
      <c r="AHE9" s="8">
        <v>887</v>
      </c>
      <c r="AHF9" s="8">
        <v>888</v>
      </c>
      <c r="AHG9" s="8">
        <v>889</v>
      </c>
      <c r="AHH9" s="8">
        <v>890</v>
      </c>
      <c r="AHI9" s="8">
        <v>891</v>
      </c>
      <c r="AHJ9" s="8">
        <v>892</v>
      </c>
      <c r="AHK9" s="8">
        <v>893</v>
      </c>
      <c r="AHL9" s="8">
        <v>894</v>
      </c>
      <c r="AHM9" s="8">
        <v>895</v>
      </c>
      <c r="AHN9" s="8">
        <v>896</v>
      </c>
      <c r="AHO9" s="8">
        <v>897</v>
      </c>
      <c r="AHP9" s="8">
        <v>898</v>
      </c>
      <c r="AHQ9" s="8">
        <v>899</v>
      </c>
      <c r="AHR9" s="8">
        <v>900</v>
      </c>
      <c r="AHS9" s="8">
        <v>901</v>
      </c>
      <c r="AHT9" s="8">
        <v>902</v>
      </c>
      <c r="AHU9" s="8">
        <v>903</v>
      </c>
      <c r="AHV9" s="8">
        <v>904</v>
      </c>
      <c r="AHW9" s="8">
        <v>905</v>
      </c>
      <c r="AHX9" s="8">
        <v>906</v>
      </c>
      <c r="AHY9" s="8">
        <v>907</v>
      </c>
      <c r="AHZ9" s="8">
        <v>908</v>
      </c>
      <c r="AIA9" s="8">
        <v>909</v>
      </c>
      <c r="AIB9" s="8">
        <v>910</v>
      </c>
      <c r="AIC9" s="8">
        <v>911</v>
      </c>
      <c r="AID9" s="8">
        <v>912</v>
      </c>
      <c r="AIE9" s="8">
        <v>913</v>
      </c>
      <c r="AIF9" s="8">
        <v>914</v>
      </c>
      <c r="AIG9" s="8">
        <v>915</v>
      </c>
      <c r="AIH9" s="8">
        <v>916</v>
      </c>
      <c r="AII9" s="8">
        <v>917</v>
      </c>
      <c r="AIJ9" s="8">
        <v>918</v>
      </c>
      <c r="AIK9" s="8">
        <v>919</v>
      </c>
      <c r="AIL9" s="8">
        <v>920</v>
      </c>
      <c r="AIM9" s="8">
        <v>921</v>
      </c>
      <c r="AIN9" s="8">
        <v>922</v>
      </c>
      <c r="AIO9" s="8">
        <v>923</v>
      </c>
      <c r="AIP9" s="8">
        <v>924</v>
      </c>
      <c r="AIQ9" s="8">
        <v>925</v>
      </c>
      <c r="AIR9" s="8">
        <v>926</v>
      </c>
      <c r="AIS9" s="8">
        <v>927</v>
      </c>
      <c r="AIT9" s="8">
        <v>928</v>
      </c>
      <c r="AIU9" s="8">
        <v>929</v>
      </c>
      <c r="AIV9" s="8">
        <v>930</v>
      </c>
      <c r="AIW9" s="8">
        <v>931</v>
      </c>
      <c r="AIX9" s="8">
        <v>932</v>
      </c>
      <c r="AIY9" s="8">
        <v>933</v>
      </c>
      <c r="AIZ9" s="8">
        <v>934</v>
      </c>
      <c r="AJA9" s="8">
        <v>935</v>
      </c>
      <c r="AJB9" s="8">
        <v>936</v>
      </c>
      <c r="AJC9" s="8">
        <v>937</v>
      </c>
      <c r="AJD9" s="8">
        <v>938</v>
      </c>
      <c r="AJE9" s="8">
        <v>939</v>
      </c>
      <c r="AJF9" s="8">
        <v>940</v>
      </c>
      <c r="AJG9" s="8">
        <v>941</v>
      </c>
      <c r="AJH9" s="8">
        <v>942</v>
      </c>
      <c r="AJI9" s="8">
        <v>943</v>
      </c>
      <c r="AJJ9" s="8">
        <v>944</v>
      </c>
      <c r="AJK9" s="8">
        <v>945</v>
      </c>
      <c r="AJL9" s="8">
        <v>946</v>
      </c>
      <c r="AJM9" s="8">
        <v>947</v>
      </c>
      <c r="AJN9" s="8">
        <v>948</v>
      </c>
      <c r="AJO9" s="8">
        <v>949</v>
      </c>
      <c r="AJP9" s="8">
        <v>950</v>
      </c>
      <c r="AJQ9" s="8">
        <v>951</v>
      </c>
      <c r="AJR9" s="8">
        <v>952</v>
      </c>
      <c r="AJS9" s="8">
        <v>953</v>
      </c>
      <c r="AJT9" s="8">
        <v>954</v>
      </c>
      <c r="AJU9" s="8">
        <v>955</v>
      </c>
      <c r="AJV9" s="8">
        <v>956</v>
      </c>
      <c r="AJW9" s="8">
        <v>957</v>
      </c>
      <c r="AJX9" s="8">
        <v>958</v>
      </c>
      <c r="AJY9" s="8">
        <v>959</v>
      </c>
      <c r="AJZ9" s="8">
        <v>960</v>
      </c>
      <c r="AKA9" s="8">
        <v>961</v>
      </c>
      <c r="AKB9" s="8">
        <v>962</v>
      </c>
      <c r="AKC9" s="8">
        <v>963</v>
      </c>
      <c r="AKD9" s="8">
        <v>964</v>
      </c>
      <c r="AKE9" s="8">
        <v>965</v>
      </c>
      <c r="AKF9" s="8">
        <v>966</v>
      </c>
      <c r="AKG9" s="8">
        <v>967</v>
      </c>
      <c r="AKH9" s="8">
        <v>968</v>
      </c>
      <c r="AKI9" s="8">
        <v>969</v>
      </c>
      <c r="AKJ9" s="8">
        <v>970</v>
      </c>
      <c r="AKK9" s="8">
        <v>971</v>
      </c>
      <c r="AKL9" s="8">
        <v>972</v>
      </c>
      <c r="AKM9" s="8">
        <v>973</v>
      </c>
      <c r="AKN9" s="8">
        <v>974</v>
      </c>
      <c r="AKO9" s="8">
        <v>975</v>
      </c>
      <c r="AKP9" s="8">
        <v>976</v>
      </c>
      <c r="AKQ9" s="8">
        <v>977</v>
      </c>
      <c r="AKR9" s="8">
        <v>978</v>
      </c>
      <c r="AKS9" s="8">
        <v>979</v>
      </c>
      <c r="AKT9" s="8">
        <v>980</v>
      </c>
      <c r="AKU9" s="8">
        <v>981</v>
      </c>
      <c r="AKV9" s="8">
        <v>982</v>
      </c>
      <c r="AKW9" s="8">
        <v>983</v>
      </c>
      <c r="AKX9" s="8">
        <v>984</v>
      </c>
      <c r="AKY9" s="8">
        <v>985</v>
      </c>
      <c r="AKZ9" s="8">
        <v>986</v>
      </c>
      <c r="ALA9" s="8">
        <v>987</v>
      </c>
      <c r="ALB9" s="8">
        <v>988</v>
      </c>
      <c r="ALC9" s="8">
        <v>989</v>
      </c>
      <c r="ALD9" s="8">
        <v>990</v>
      </c>
      <c r="ALE9" s="8">
        <v>991</v>
      </c>
      <c r="ALF9" s="8">
        <v>992</v>
      </c>
      <c r="ALG9" s="8">
        <v>993</v>
      </c>
      <c r="ALH9" s="8">
        <v>994</v>
      </c>
      <c r="ALI9" s="8">
        <v>995</v>
      </c>
      <c r="ALJ9" s="8">
        <v>996</v>
      </c>
      <c r="ALK9" s="8">
        <v>997</v>
      </c>
      <c r="ALL9" s="8">
        <v>998</v>
      </c>
      <c r="ALM9" s="8">
        <v>999</v>
      </c>
      <c r="ALN9" s="8">
        <v>1000</v>
      </c>
      <c r="ALO9" s="8">
        <v>1001</v>
      </c>
      <c r="ALP9" s="8">
        <v>1002</v>
      </c>
      <c r="ALQ9" s="8">
        <v>1003</v>
      </c>
      <c r="ALR9" s="8">
        <v>1004</v>
      </c>
      <c r="ALS9" s="8">
        <v>1005</v>
      </c>
      <c r="ALT9" s="8">
        <v>1006</v>
      </c>
      <c r="ALU9" s="8">
        <v>1007</v>
      </c>
      <c r="ALV9" s="8">
        <v>1008</v>
      </c>
      <c r="ALW9" s="8">
        <v>1009</v>
      </c>
      <c r="ALX9" s="8">
        <v>1010</v>
      </c>
      <c r="ALY9" s="8">
        <v>1011</v>
      </c>
      <c r="ALZ9" s="8">
        <v>1012</v>
      </c>
      <c r="AMA9" s="8">
        <v>1013</v>
      </c>
      <c r="AMB9" s="8">
        <v>1014</v>
      </c>
      <c r="AMC9" s="8">
        <v>1015</v>
      </c>
      <c r="AMD9" s="8">
        <v>1016</v>
      </c>
      <c r="AME9" s="8">
        <v>1017</v>
      </c>
      <c r="AMF9" s="8">
        <v>1018</v>
      </c>
      <c r="AMG9" s="8">
        <v>1019</v>
      </c>
      <c r="AMH9" s="8">
        <v>1020</v>
      </c>
      <c r="AMI9" s="8">
        <v>1021</v>
      </c>
      <c r="AMJ9" s="8">
        <v>1022</v>
      </c>
      <c r="AMK9" s="8">
        <v>1023</v>
      </c>
      <c r="AML9" s="8">
        <v>1024</v>
      </c>
      <c r="AMM9" s="8">
        <v>1025</v>
      </c>
      <c r="AMN9" s="8">
        <v>1026</v>
      </c>
      <c r="AMO9" s="8">
        <v>1027</v>
      </c>
      <c r="AMP9" s="8">
        <v>1028</v>
      </c>
      <c r="AMQ9" s="8">
        <v>1029</v>
      </c>
      <c r="AMR9" s="8">
        <v>1030</v>
      </c>
      <c r="AMS9" s="8">
        <v>1031</v>
      </c>
      <c r="AMT9" s="8">
        <v>1032</v>
      </c>
      <c r="AMU9" s="8">
        <v>1033</v>
      </c>
      <c r="AMV9" s="8">
        <v>1034</v>
      </c>
      <c r="AMW9" s="8">
        <v>1035</v>
      </c>
      <c r="AMX9" s="8">
        <v>1036</v>
      </c>
      <c r="AMY9" s="8">
        <v>1037</v>
      </c>
      <c r="AMZ9" s="8">
        <v>1038</v>
      </c>
      <c r="ANA9" s="8">
        <v>1039</v>
      </c>
      <c r="ANB9" s="8">
        <v>1040</v>
      </c>
      <c r="ANC9" s="8">
        <v>1041</v>
      </c>
      <c r="AND9" s="8">
        <v>1042</v>
      </c>
      <c r="ANE9" s="8">
        <v>1043</v>
      </c>
      <c r="ANF9" s="8">
        <v>1044</v>
      </c>
      <c r="ANG9" s="8">
        <v>1045</v>
      </c>
      <c r="ANH9" s="8">
        <v>1046</v>
      </c>
      <c r="ANI9" s="8">
        <v>1047</v>
      </c>
      <c r="ANJ9" s="8">
        <v>1048</v>
      </c>
      <c r="ANK9" s="8">
        <v>1049</v>
      </c>
      <c r="ANL9" s="8">
        <v>1050</v>
      </c>
      <c r="ANM9" s="8">
        <v>1051</v>
      </c>
      <c r="ANN9" s="8">
        <v>1052</v>
      </c>
      <c r="ANO9" s="8">
        <v>1053</v>
      </c>
      <c r="ANP9" s="8">
        <v>1054</v>
      </c>
      <c r="ANQ9" s="8">
        <v>1055</v>
      </c>
      <c r="ANR9" s="8">
        <v>1056</v>
      </c>
      <c r="ANS9" s="8">
        <v>1057</v>
      </c>
      <c r="ANT9" s="8">
        <v>1058</v>
      </c>
      <c r="ANU9" s="8">
        <v>1059</v>
      </c>
      <c r="ANV9" s="8">
        <v>1060</v>
      </c>
      <c r="ANW9" s="8">
        <v>1061</v>
      </c>
      <c r="ANX9" s="8">
        <v>1062</v>
      </c>
      <c r="ANY9" s="8">
        <v>1063</v>
      </c>
      <c r="ANZ9" s="8">
        <v>1064</v>
      </c>
      <c r="AOA9" s="8">
        <v>1065</v>
      </c>
      <c r="AOB9" s="8">
        <v>1066</v>
      </c>
      <c r="AOC9" s="8">
        <v>1067</v>
      </c>
      <c r="AOD9" s="8">
        <v>1068</v>
      </c>
      <c r="AOE9" s="8">
        <v>1069</v>
      </c>
      <c r="AOF9" s="8">
        <v>1070</v>
      </c>
      <c r="AOG9" s="8">
        <v>1071</v>
      </c>
      <c r="AOH9" s="8">
        <v>1072</v>
      </c>
      <c r="AOI9" s="8">
        <v>1073</v>
      </c>
      <c r="AOJ9" s="8">
        <v>1074</v>
      </c>
      <c r="AOK9" s="8">
        <v>1075</v>
      </c>
      <c r="AOL9" s="8">
        <v>1076</v>
      </c>
      <c r="AOM9" s="8">
        <v>1077</v>
      </c>
      <c r="AON9" s="8">
        <v>1078</v>
      </c>
      <c r="AOO9" s="8">
        <v>1079</v>
      </c>
      <c r="AOP9" s="8">
        <v>1080</v>
      </c>
      <c r="AOQ9" s="8">
        <v>1081</v>
      </c>
      <c r="AOR9" s="8">
        <v>1082</v>
      </c>
      <c r="AOS9" s="8">
        <v>1083</v>
      </c>
      <c r="AOT9" s="8">
        <v>1084</v>
      </c>
      <c r="AOU9" s="8">
        <v>1085</v>
      </c>
      <c r="AOV9" s="8">
        <v>1086</v>
      </c>
      <c r="AOW9" s="8">
        <v>1087</v>
      </c>
      <c r="AOX9" s="8">
        <v>1088</v>
      </c>
      <c r="AOY9" s="8">
        <v>1089</v>
      </c>
      <c r="AOZ9" s="8">
        <v>1090</v>
      </c>
      <c r="APA9" s="8">
        <v>1091</v>
      </c>
      <c r="APB9" s="8">
        <v>1092</v>
      </c>
      <c r="APC9" s="8">
        <v>1093</v>
      </c>
      <c r="APD9" s="8">
        <v>1094</v>
      </c>
      <c r="APE9" s="8">
        <v>1095</v>
      </c>
      <c r="APF9" s="8">
        <v>1096</v>
      </c>
      <c r="APG9" s="8">
        <v>1097</v>
      </c>
      <c r="APH9" s="8">
        <v>1098</v>
      </c>
      <c r="API9" s="8">
        <v>1099</v>
      </c>
      <c r="APJ9" s="8">
        <v>1100</v>
      </c>
      <c r="APK9" s="8">
        <v>1101</v>
      </c>
      <c r="APL9" s="8">
        <v>1102</v>
      </c>
      <c r="APM9" s="8">
        <v>1103</v>
      </c>
      <c r="APN9" s="8">
        <v>1104</v>
      </c>
      <c r="APO9" s="8">
        <v>1105</v>
      </c>
      <c r="APP9" s="8">
        <v>1106</v>
      </c>
      <c r="APQ9" s="8">
        <v>1107</v>
      </c>
      <c r="APR9" s="8">
        <v>1108</v>
      </c>
      <c r="APS9" s="8">
        <v>1109</v>
      </c>
      <c r="APT9" s="8">
        <v>1110</v>
      </c>
      <c r="APU9" s="8">
        <v>1111</v>
      </c>
      <c r="APV9" s="8">
        <v>1112</v>
      </c>
      <c r="APW9" s="8">
        <v>1113</v>
      </c>
      <c r="APX9" s="8">
        <v>1114</v>
      </c>
      <c r="APY9" s="8">
        <v>1115</v>
      </c>
      <c r="APZ9" s="8">
        <v>1116</v>
      </c>
      <c r="AQA9" s="8">
        <v>1117</v>
      </c>
      <c r="AQB9" s="8">
        <v>1118</v>
      </c>
      <c r="AQC9" s="8">
        <v>1119</v>
      </c>
      <c r="AQD9" s="8">
        <v>1120</v>
      </c>
      <c r="AQE9" s="8">
        <v>1121</v>
      </c>
      <c r="AQF9" s="8">
        <v>1122</v>
      </c>
      <c r="AQG9" s="8">
        <v>1123</v>
      </c>
      <c r="AQH9" s="8">
        <v>1124</v>
      </c>
      <c r="AQI9" s="8">
        <v>1125</v>
      </c>
      <c r="AQJ9" s="8">
        <v>1126</v>
      </c>
      <c r="AQK9" s="8">
        <v>1127</v>
      </c>
      <c r="AQL9" s="8">
        <v>1128</v>
      </c>
      <c r="AQM9" s="8">
        <v>1129</v>
      </c>
      <c r="AQN9" s="8">
        <v>1130</v>
      </c>
      <c r="AQO9" s="8">
        <v>1131</v>
      </c>
      <c r="AQP9" s="8">
        <v>1132</v>
      </c>
      <c r="AQQ9" s="8">
        <v>1133</v>
      </c>
      <c r="AQR9" s="8">
        <v>1134</v>
      </c>
      <c r="AQS9" s="8">
        <v>1135</v>
      </c>
      <c r="AQT9" s="8">
        <v>1136</v>
      </c>
      <c r="AQU9" s="8">
        <v>1137</v>
      </c>
      <c r="AQV9" s="8">
        <v>1138</v>
      </c>
      <c r="AQW9" s="8">
        <v>1139</v>
      </c>
      <c r="AQX9" s="8">
        <v>1140</v>
      </c>
      <c r="AQY9" s="8">
        <v>1141</v>
      </c>
      <c r="AQZ9" s="8">
        <v>1142</v>
      </c>
      <c r="ARA9" s="8">
        <v>1143</v>
      </c>
      <c r="ARB9" s="8">
        <v>1144</v>
      </c>
      <c r="ARC9" s="8">
        <v>1145</v>
      </c>
      <c r="ARD9" s="8">
        <v>1146</v>
      </c>
      <c r="ARE9" s="8">
        <v>1147</v>
      </c>
      <c r="ARF9" s="8">
        <v>1148</v>
      </c>
      <c r="ARG9" s="8">
        <v>1149</v>
      </c>
      <c r="ARH9" s="8">
        <v>1150</v>
      </c>
      <c r="ARI9" s="8">
        <v>1151</v>
      </c>
      <c r="ARJ9" s="8">
        <v>1152</v>
      </c>
      <c r="ARK9" s="8">
        <v>1153</v>
      </c>
      <c r="ARL9" s="8">
        <v>1154</v>
      </c>
      <c r="ARM9" s="8">
        <v>1155</v>
      </c>
      <c r="ARN9" s="8">
        <v>1156</v>
      </c>
      <c r="ARO9" s="8">
        <v>1157</v>
      </c>
      <c r="ARP9" s="8">
        <v>1158</v>
      </c>
      <c r="ARQ9" s="8">
        <v>1159</v>
      </c>
      <c r="ARR9" s="8">
        <v>1160</v>
      </c>
      <c r="ARS9" s="8">
        <v>1161</v>
      </c>
      <c r="ART9" s="8">
        <v>1162</v>
      </c>
      <c r="ARU9" s="8">
        <v>1163</v>
      </c>
      <c r="ARV9" s="8">
        <v>1164</v>
      </c>
      <c r="ARW9" s="8">
        <v>1165</v>
      </c>
      <c r="ARX9" s="8">
        <v>1166</v>
      </c>
      <c r="ARY9" s="8">
        <v>1167</v>
      </c>
      <c r="ARZ9" s="8">
        <v>1168</v>
      </c>
      <c r="ASA9" s="8">
        <v>1169</v>
      </c>
      <c r="ASB9" s="8">
        <v>1170</v>
      </c>
      <c r="ASC9" s="8">
        <v>1171</v>
      </c>
      <c r="ASD9" s="8">
        <v>1172</v>
      </c>
      <c r="ASE9" s="8">
        <v>1173</v>
      </c>
      <c r="ASF9" s="8">
        <v>1174</v>
      </c>
      <c r="ASG9" s="8">
        <v>1175</v>
      </c>
      <c r="ASH9" s="8">
        <v>1176</v>
      </c>
      <c r="ASI9" s="8">
        <v>1177</v>
      </c>
      <c r="ASJ9" s="8">
        <v>1178</v>
      </c>
      <c r="ASK9" s="8">
        <v>1179</v>
      </c>
      <c r="ASL9" s="8">
        <v>1180</v>
      </c>
      <c r="ASM9" s="8">
        <v>1181</v>
      </c>
      <c r="ASN9" s="8">
        <v>1182</v>
      </c>
      <c r="ASO9" s="8">
        <v>1183</v>
      </c>
      <c r="ASP9" s="8">
        <v>1184</v>
      </c>
      <c r="ASQ9" s="8">
        <v>1185</v>
      </c>
      <c r="ASR9" s="8">
        <v>1186</v>
      </c>
      <c r="ASS9" s="8">
        <v>1187</v>
      </c>
      <c r="AST9" s="8">
        <v>1188</v>
      </c>
      <c r="ASU9" s="8">
        <v>1189</v>
      </c>
      <c r="ASV9" s="8">
        <v>1190</v>
      </c>
      <c r="ASW9" s="8">
        <v>1191</v>
      </c>
      <c r="ASX9" s="8">
        <v>1192</v>
      </c>
      <c r="ASY9" s="8">
        <v>1193</v>
      </c>
      <c r="ASZ9" s="8">
        <v>1194</v>
      </c>
      <c r="ATA9" s="8">
        <v>1195</v>
      </c>
      <c r="ATB9" s="8">
        <v>1196</v>
      </c>
      <c r="ATC9" s="8">
        <v>1197</v>
      </c>
      <c r="ATD9" s="8">
        <v>1198</v>
      </c>
      <c r="ATE9" s="8">
        <v>1199</v>
      </c>
      <c r="ATF9" s="8">
        <v>1200</v>
      </c>
      <c r="ATG9" s="8">
        <v>1201</v>
      </c>
      <c r="ATH9" s="8">
        <v>1202</v>
      </c>
      <c r="ATI9" s="8">
        <v>1203</v>
      </c>
      <c r="ATJ9" s="8">
        <v>1204</v>
      </c>
      <c r="ATK9" s="8">
        <v>1205</v>
      </c>
      <c r="ATL9" s="8">
        <v>1206</v>
      </c>
      <c r="ATM9" s="8">
        <v>1207</v>
      </c>
      <c r="ATN9" s="8">
        <v>1208</v>
      </c>
      <c r="ATO9" s="8">
        <v>1209</v>
      </c>
      <c r="ATP9" s="8">
        <v>1210</v>
      </c>
      <c r="ATQ9" s="8">
        <v>1211</v>
      </c>
      <c r="ATR9" s="8">
        <v>1212</v>
      </c>
      <c r="ATS9" s="8">
        <v>1213</v>
      </c>
      <c r="ATT9" s="8">
        <v>1214</v>
      </c>
      <c r="ATU9" s="8">
        <v>1215</v>
      </c>
      <c r="ATV9" s="8">
        <v>1216</v>
      </c>
      <c r="ATW9" s="8">
        <v>1217</v>
      </c>
      <c r="ATX9" s="8">
        <v>1218</v>
      </c>
      <c r="ATY9" s="8">
        <v>1219</v>
      </c>
      <c r="ATZ9" s="8">
        <v>1220</v>
      </c>
      <c r="AUA9" s="8">
        <v>1221</v>
      </c>
      <c r="AUB9" s="8">
        <v>1222</v>
      </c>
      <c r="AUC9" s="8">
        <v>1223</v>
      </c>
      <c r="AUD9" s="8">
        <v>1224</v>
      </c>
      <c r="AUE9" s="8">
        <v>1225</v>
      </c>
      <c r="AUF9" s="8">
        <v>1226</v>
      </c>
      <c r="AUG9" s="8">
        <v>1227</v>
      </c>
      <c r="AUH9" s="8">
        <v>1228</v>
      </c>
      <c r="AUI9" s="8">
        <v>1229</v>
      </c>
      <c r="AUJ9" s="8">
        <v>1230</v>
      </c>
      <c r="AUK9" s="8">
        <v>1231</v>
      </c>
      <c r="AUL9" s="8">
        <v>1232</v>
      </c>
      <c r="AUM9" s="8">
        <v>1233</v>
      </c>
      <c r="AUN9" s="8">
        <v>1234</v>
      </c>
      <c r="AUO9" s="8">
        <v>1235</v>
      </c>
      <c r="AUP9" s="8">
        <v>1236</v>
      </c>
      <c r="AUQ9" s="8">
        <v>1237</v>
      </c>
      <c r="AUR9" s="8">
        <v>1238</v>
      </c>
      <c r="AUS9" s="8">
        <v>1239</v>
      </c>
      <c r="AUT9" s="8">
        <v>1240</v>
      </c>
      <c r="AUU9" s="8">
        <v>1241</v>
      </c>
      <c r="AUV9" s="8">
        <v>1242</v>
      </c>
      <c r="AUW9" s="8">
        <v>1243</v>
      </c>
      <c r="AUX9" s="8">
        <v>1244</v>
      </c>
      <c r="AUY9" s="8">
        <v>1245</v>
      </c>
      <c r="AUZ9" s="8">
        <v>1246</v>
      </c>
      <c r="AVA9" s="8">
        <v>1247</v>
      </c>
      <c r="AVB9" s="8">
        <v>1248</v>
      </c>
      <c r="AVC9" s="8">
        <v>1249</v>
      </c>
      <c r="AVD9" s="8">
        <v>1250</v>
      </c>
      <c r="AVE9" s="8">
        <v>1251</v>
      </c>
      <c r="AVF9" s="8">
        <v>1252</v>
      </c>
      <c r="AVG9" s="8">
        <v>1253</v>
      </c>
      <c r="AVH9" s="8">
        <v>1254</v>
      </c>
      <c r="AVI9" s="8">
        <v>1255</v>
      </c>
      <c r="AVJ9" s="8">
        <v>1256</v>
      </c>
      <c r="AVK9" s="8">
        <v>1257</v>
      </c>
      <c r="AVL9" s="8">
        <v>1258</v>
      </c>
      <c r="AVM9" s="8">
        <v>1259</v>
      </c>
      <c r="AVN9" s="8">
        <v>1260</v>
      </c>
      <c r="AVO9" s="8">
        <v>1261</v>
      </c>
      <c r="AVP9" s="8">
        <v>1262</v>
      </c>
      <c r="AVQ9" s="8">
        <v>1263</v>
      </c>
      <c r="AVR9" s="8">
        <v>1264</v>
      </c>
      <c r="AVS9" s="8">
        <v>1265</v>
      </c>
      <c r="AVT9" s="8">
        <v>1266</v>
      </c>
      <c r="AVU9" s="8">
        <v>1267</v>
      </c>
      <c r="AVV9" s="8">
        <v>1268</v>
      </c>
      <c r="AVW9" s="8">
        <v>1269</v>
      </c>
      <c r="AVX9" s="8">
        <v>1270</v>
      </c>
      <c r="AVY9" s="8">
        <v>1271</v>
      </c>
      <c r="AVZ9" s="8">
        <v>1272</v>
      </c>
      <c r="AWA9" s="8">
        <v>1273</v>
      </c>
      <c r="AWB9" s="8">
        <v>1274</v>
      </c>
      <c r="AWC9" s="8">
        <v>1275</v>
      </c>
      <c r="AWD9" s="8">
        <v>1276</v>
      </c>
      <c r="AWE9" s="8">
        <v>1277</v>
      </c>
      <c r="AWF9" s="8">
        <v>1278</v>
      </c>
      <c r="AWG9" s="8">
        <v>1279</v>
      </c>
      <c r="AWH9" s="8">
        <v>1280</v>
      </c>
      <c r="AWI9" s="8">
        <v>1281</v>
      </c>
      <c r="AWJ9" s="8">
        <v>1282</v>
      </c>
      <c r="AWK9" s="8">
        <v>1283</v>
      </c>
      <c r="AWL9" s="8">
        <v>1284</v>
      </c>
      <c r="AWM9" s="8">
        <v>1285</v>
      </c>
      <c r="AWN9" s="8">
        <v>1286</v>
      </c>
      <c r="AWO9" s="8">
        <v>1287</v>
      </c>
      <c r="AWP9" s="8">
        <v>1288</v>
      </c>
      <c r="AWQ9" s="8">
        <v>1289</v>
      </c>
      <c r="AWR9" s="8">
        <v>1290</v>
      </c>
      <c r="AWS9" s="8">
        <v>1291</v>
      </c>
      <c r="AWT9" s="8">
        <v>1292</v>
      </c>
      <c r="AWU9" s="8">
        <v>1293</v>
      </c>
      <c r="AWV9" s="8">
        <v>1294</v>
      </c>
      <c r="AWW9" s="8">
        <v>1295</v>
      </c>
      <c r="AWX9" s="8">
        <v>1296</v>
      </c>
      <c r="AWY9" s="8">
        <v>1297</v>
      </c>
      <c r="AWZ9" s="8">
        <v>1298</v>
      </c>
      <c r="AXA9" s="8">
        <v>1299</v>
      </c>
      <c r="AXB9" s="8">
        <v>1300</v>
      </c>
      <c r="AXC9" s="8">
        <v>1301</v>
      </c>
      <c r="AXD9" s="8">
        <v>1302</v>
      </c>
      <c r="AXE9" s="8">
        <v>1303</v>
      </c>
      <c r="AXF9" s="8">
        <v>1304</v>
      </c>
      <c r="AXG9" s="8">
        <v>1305</v>
      </c>
      <c r="AXH9" s="8">
        <v>1306</v>
      </c>
      <c r="AXI9" s="8">
        <v>1307</v>
      </c>
      <c r="AXJ9" s="8">
        <v>1308</v>
      </c>
      <c r="AXK9" s="8">
        <v>1309</v>
      </c>
      <c r="AXL9" s="8">
        <v>1310</v>
      </c>
      <c r="AXM9" s="8">
        <v>1311</v>
      </c>
      <c r="AXN9" s="8">
        <v>1312</v>
      </c>
      <c r="AXO9" s="8">
        <v>1313</v>
      </c>
      <c r="AXP9" s="8">
        <v>1314</v>
      </c>
      <c r="AXQ9" s="8">
        <v>1315</v>
      </c>
      <c r="AXR9" s="8">
        <v>1316</v>
      </c>
      <c r="AXS9" s="8">
        <v>1317</v>
      </c>
      <c r="AXT9" s="8">
        <v>1318</v>
      </c>
      <c r="AXU9" s="8">
        <v>1319</v>
      </c>
      <c r="AXV9" s="8">
        <v>1320</v>
      </c>
      <c r="AXW9" s="8">
        <v>1321</v>
      </c>
      <c r="AXX9" s="8">
        <v>1322</v>
      </c>
      <c r="AXY9" s="8">
        <v>1323</v>
      </c>
      <c r="AXZ9" s="8">
        <v>1324</v>
      </c>
      <c r="AYA9" s="8">
        <v>1325</v>
      </c>
      <c r="AYB9" s="8">
        <v>1326</v>
      </c>
      <c r="AYC9" s="8">
        <v>1327</v>
      </c>
      <c r="AYD9" s="8">
        <v>1328</v>
      </c>
      <c r="AYE9" s="8">
        <v>1329</v>
      </c>
      <c r="AYF9" s="8">
        <v>1330</v>
      </c>
      <c r="AYG9" s="8">
        <v>1331</v>
      </c>
      <c r="AYH9" s="8">
        <v>1332</v>
      </c>
      <c r="AYI9" s="8">
        <v>1333</v>
      </c>
      <c r="AYJ9" s="8">
        <v>1334</v>
      </c>
      <c r="AYK9" s="8">
        <v>1335</v>
      </c>
      <c r="AYL9" s="8">
        <v>1336</v>
      </c>
      <c r="AYM9" s="8">
        <v>1337</v>
      </c>
      <c r="AYN9" s="8">
        <v>1338</v>
      </c>
      <c r="AYO9" s="8">
        <v>1339</v>
      </c>
      <c r="AYP9" s="8">
        <v>1340</v>
      </c>
      <c r="AYQ9" s="8">
        <v>1341</v>
      </c>
      <c r="AYR9" s="8">
        <v>1342</v>
      </c>
      <c r="AYS9" s="8">
        <v>1343</v>
      </c>
      <c r="AYT9" s="8">
        <v>1344</v>
      </c>
      <c r="AYU9" s="8">
        <v>1345</v>
      </c>
      <c r="AYV9" s="8">
        <v>1346</v>
      </c>
      <c r="AYW9" s="8">
        <v>1347</v>
      </c>
      <c r="AYX9" s="8">
        <v>1348</v>
      </c>
      <c r="AYY9" s="8">
        <v>1349</v>
      </c>
      <c r="AYZ9" s="8">
        <v>1350</v>
      </c>
      <c r="AZA9" s="8">
        <v>1351</v>
      </c>
      <c r="AZB9" s="8">
        <v>1352</v>
      </c>
      <c r="AZC9" s="8">
        <v>1353</v>
      </c>
      <c r="AZD9" s="8">
        <v>1354</v>
      </c>
      <c r="AZE9" s="8">
        <v>1355</v>
      </c>
      <c r="AZF9" s="8">
        <v>1356</v>
      </c>
      <c r="AZG9" s="8">
        <v>1357</v>
      </c>
      <c r="AZH9" s="8">
        <v>1358</v>
      </c>
      <c r="AZI9" s="8">
        <v>1359</v>
      </c>
      <c r="AZJ9" s="8">
        <v>1360</v>
      </c>
      <c r="AZK9" s="8">
        <v>1361</v>
      </c>
      <c r="AZL9" s="8">
        <v>1362</v>
      </c>
      <c r="AZM9" s="8">
        <v>1363</v>
      </c>
      <c r="AZN9" s="8">
        <v>1364</v>
      </c>
      <c r="AZO9" s="8">
        <v>1365</v>
      </c>
      <c r="AZP9" s="8">
        <v>1366</v>
      </c>
      <c r="AZQ9" s="8">
        <v>1367</v>
      </c>
      <c r="AZR9" s="8">
        <v>1368</v>
      </c>
      <c r="AZS9" s="8">
        <v>1369</v>
      </c>
      <c r="AZT9" s="8">
        <v>1370</v>
      </c>
      <c r="AZU9" s="8">
        <v>1371</v>
      </c>
      <c r="AZV9" s="8">
        <v>1372</v>
      </c>
      <c r="AZW9" s="8">
        <v>1373</v>
      </c>
      <c r="AZX9" s="8">
        <v>1374</v>
      </c>
      <c r="AZY9" s="8">
        <v>1375</v>
      </c>
      <c r="AZZ9" s="8">
        <v>1376</v>
      </c>
      <c r="BAA9" s="8">
        <v>1377</v>
      </c>
      <c r="BAB9" s="8">
        <v>1378</v>
      </c>
      <c r="BAC9" s="8">
        <v>1379</v>
      </c>
      <c r="BAD9" s="8">
        <v>1380</v>
      </c>
      <c r="BAE9" s="8">
        <v>1381</v>
      </c>
      <c r="BAF9" s="8">
        <v>1382</v>
      </c>
      <c r="BAG9" s="8">
        <v>1383</v>
      </c>
      <c r="BAH9" s="8">
        <v>1384</v>
      </c>
      <c r="BAI9" s="8">
        <v>1385</v>
      </c>
      <c r="BAJ9" s="8">
        <v>1386</v>
      </c>
      <c r="BAK9" s="8">
        <v>1387</v>
      </c>
      <c r="BAL9" s="8">
        <v>1388</v>
      </c>
      <c r="BAM9" s="8">
        <v>1389</v>
      </c>
      <c r="BAN9" s="8">
        <v>1390</v>
      </c>
      <c r="BAO9" s="8">
        <v>1391</v>
      </c>
      <c r="BAP9" s="8">
        <v>1392</v>
      </c>
      <c r="BAQ9" s="8">
        <v>1393</v>
      </c>
      <c r="BAR9" s="8">
        <v>1394</v>
      </c>
      <c r="BAS9" s="8">
        <v>1395</v>
      </c>
      <c r="BAT9" s="8">
        <v>1396</v>
      </c>
      <c r="BAU9" s="8">
        <v>1397</v>
      </c>
      <c r="BAV9" s="8">
        <v>1398</v>
      </c>
      <c r="BAW9" s="8">
        <v>1399</v>
      </c>
      <c r="BAX9" s="8">
        <v>1400</v>
      </c>
      <c r="BAY9" s="8">
        <v>1401</v>
      </c>
      <c r="BAZ9" s="8">
        <v>1402</v>
      </c>
      <c r="BBA9" s="8">
        <v>1403</v>
      </c>
      <c r="BBB9" s="8">
        <v>1404</v>
      </c>
      <c r="BBC9" s="8">
        <v>1405</v>
      </c>
      <c r="BBD9" s="8">
        <v>1406</v>
      </c>
      <c r="BBE9" s="8">
        <v>1407</v>
      </c>
      <c r="BBF9" s="8">
        <v>1408</v>
      </c>
      <c r="BBG9" s="8">
        <v>1409</v>
      </c>
      <c r="BBH9" s="8">
        <v>1410</v>
      </c>
      <c r="BBI9" s="8">
        <v>1411</v>
      </c>
      <c r="BBJ9" s="8">
        <v>1412</v>
      </c>
      <c r="BBK9" s="8">
        <v>1413</v>
      </c>
      <c r="BBL9" s="8">
        <v>1414</v>
      </c>
      <c r="BBM9" s="8">
        <v>1415</v>
      </c>
      <c r="BBN9" s="8">
        <v>1416</v>
      </c>
      <c r="BBO9" s="8">
        <v>1417</v>
      </c>
      <c r="BBP9" s="8">
        <v>1418</v>
      </c>
      <c r="BBQ9" s="8">
        <v>1419</v>
      </c>
      <c r="BBR9" s="8">
        <v>1420</v>
      </c>
      <c r="BBS9" s="8">
        <v>1421</v>
      </c>
      <c r="BBT9" s="8">
        <v>1422</v>
      </c>
      <c r="BBU9" s="8">
        <v>1423</v>
      </c>
      <c r="BBV9" s="8">
        <v>1424</v>
      </c>
      <c r="BBW9" s="8">
        <v>1425</v>
      </c>
      <c r="BBX9" s="8">
        <v>1426</v>
      </c>
      <c r="BBY9" s="8">
        <v>1427</v>
      </c>
      <c r="BBZ9" s="8">
        <v>1428</v>
      </c>
      <c r="BCA9" s="8">
        <v>1429</v>
      </c>
      <c r="BCB9" s="8">
        <v>1430</v>
      </c>
      <c r="BCC9" s="8">
        <v>1431</v>
      </c>
      <c r="BCD9" s="8">
        <v>1432</v>
      </c>
      <c r="BCE9" s="8">
        <v>1433</v>
      </c>
      <c r="BCF9" s="8">
        <v>1434</v>
      </c>
      <c r="BCG9" s="8">
        <v>1435</v>
      </c>
      <c r="BCH9" s="8">
        <v>1436</v>
      </c>
      <c r="BCI9" s="8">
        <v>1437</v>
      </c>
      <c r="BCJ9" s="8">
        <v>1438</v>
      </c>
      <c r="BCK9" s="8">
        <v>1439</v>
      </c>
      <c r="BCL9" s="8">
        <v>1440</v>
      </c>
      <c r="BCM9" s="8">
        <v>1441</v>
      </c>
      <c r="BCN9" s="8">
        <v>1442</v>
      </c>
      <c r="BCO9" s="8">
        <v>1443</v>
      </c>
      <c r="BCP9" s="8">
        <v>1444</v>
      </c>
      <c r="BCQ9" s="8">
        <v>1445</v>
      </c>
      <c r="BCR9" s="8">
        <v>1446</v>
      </c>
      <c r="BCS9" s="8">
        <v>1447</v>
      </c>
      <c r="BCT9" s="8">
        <v>1448</v>
      </c>
      <c r="BCU9" s="8">
        <v>1449</v>
      </c>
      <c r="BCV9" s="8">
        <v>1450</v>
      </c>
      <c r="BCW9" s="8">
        <v>1451</v>
      </c>
      <c r="BCX9" s="8">
        <v>1452</v>
      </c>
      <c r="BCY9" s="8">
        <v>1453</v>
      </c>
      <c r="BCZ9" s="8">
        <v>1454</v>
      </c>
      <c r="BDA9" s="8">
        <v>1455</v>
      </c>
      <c r="BDB9" s="8">
        <v>1456</v>
      </c>
      <c r="BDC9" s="8">
        <v>1457</v>
      </c>
      <c r="BDD9" s="8">
        <v>1458</v>
      </c>
      <c r="BDE9" s="8">
        <v>1459</v>
      </c>
      <c r="BDF9" s="8">
        <v>1460</v>
      </c>
      <c r="BDG9" s="8">
        <v>1461</v>
      </c>
      <c r="BDH9" s="8">
        <v>1462</v>
      </c>
      <c r="BDI9" s="8">
        <v>1463</v>
      </c>
      <c r="BDJ9" s="8">
        <v>1464</v>
      </c>
      <c r="BDK9" s="8">
        <v>1465</v>
      </c>
      <c r="BDL9" s="8">
        <v>1466</v>
      </c>
      <c r="BDM9" s="8">
        <v>1467</v>
      </c>
      <c r="BDN9" s="8">
        <v>1468</v>
      </c>
      <c r="BDO9" s="8">
        <v>1469</v>
      </c>
      <c r="BDP9" s="8">
        <v>1470</v>
      </c>
      <c r="BDQ9" s="8">
        <v>1471</v>
      </c>
      <c r="BDR9" s="8">
        <v>1472</v>
      </c>
      <c r="BDS9" s="8">
        <v>1473</v>
      </c>
      <c r="BDT9" s="8">
        <v>1474</v>
      </c>
      <c r="BDU9" s="8">
        <v>1475</v>
      </c>
      <c r="BDV9" s="8">
        <v>1476</v>
      </c>
      <c r="BDW9" s="8">
        <v>1477</v>
      </c>
      <c r="BDX9" s="8">
        <v>1478</v>
      </c>
      <c r="BDY9" s="8">
        <v>1479</v>
      </c>
      <c r="BDZ9" s="8">
        <v>1480</v>
      </c>
      <c r="BEA9" s="8">
        <v>1481</v>
      </c>
      <c r="BEB9" s="8">
        <v>1482</v>
      </c>
      <c r="BEC9" s="8">
        <v>1483</v>
      </c>
      <c r="BED9" s="8">
        <v>1484</v>
      </c>
      <c r="BEE9" s="8">
        <v>1485</v>
      </c>
      <c r="BEF9" s="8">
        <v>1486</v>
      </c>
      <c r="BEG9" s="8">
        <v>1487</v>
      </c>
      <c r="BEH9" s="8">
        <v>1488</v>
      </c>
      <c r="BEI9" s="8">
        <v>1489</v>
      </c>
      <c r="BEJ9" s="8">
        <v>1490</v>
      </c>
      <c r="BEK9" s="8">
        <v>1491</v>
      </c>
      <c r="BEL9" s="8">
        <v>1492</v>
      </c>
      <c r="BEM9" s="8">
        <v>1493</v>
      </c>
      <c r="BEN9" s="8">
        <v>1494</v>
      </c>
      <c r="BEO9" s="8">
        <v>1495</v>
      </c>
      <c r="BEP9" s="8">
        <v>1496</v>
      </c>
      <c r="BEQ9" s="8">
        <v>1497</v>
      </c>
      <c r="BER9" s="8">
        <v>1498</v>
      </c>
      <c r="BES9" s="8">
        <v>1499</v>
      </c>
      <c r="BET9" s="8">
        <v>1500</v>
      </c>
      <c r="BEU9" s="8">
        <v>1501</v>
      </c>
      <c r="BEV9" s="8">
        <v>1502</v>
      </c>
      <c r="BEW9" s="8">
        <v>1503</v>
      </c>
      <c r="BEX9" s="8">
        <v>1504</v>
      </c>
      <c r="BEY9" s="8">
        <v>1505</v>
      </c>
      <c r="BEZ9" s="8">
        <v>1506</v>
      </c>
      <c r="BFA9" s="8">
        <v>1507</v>
      </c>
      <c r="BFB9" s="8">
        <v>1508</v>
      </c>
      <c r="BFC9" s="8">
        <v>1509</v>
      </c>
      <c r="BFD9" s="8">
        <v>1510</v>
      </c>
      <c r="BFE9" s="8">
        <v>1511</v>
      </c>
      <c r="BFF9" s="8">
        <v>1512</v>
      </c>
      <c r="BFG9" s="8">
        <v>1513</v>
      </c>
      <c r="BFH9" s="8">
        <v>1514</v>
      </c>
      <c r="BFI9" s="8">
        <v>1515</v>
      </c>
      <c r="BFJ9" s="8">
        <v>1516</v>
      </c>
      <c r="BFK9" s="8">
        <v>1517</v>
      </c>
      <c r="BFL9" s="8">
        <v>1518</v>
      </c>
      <c r="BFM9" s="8">
        <v>1519</v>
      </c>
      <c r="BFN9" s="8">
        <v>1520</v>
      </c>
      <c r="BFO9" s="8">
        <v>1521</v>
      </c>
      <c r="BFP9" s="8">
        <v>1522</v>
      </c>
      <c r="BFQ9" s="8">
        <v>1523</v>
      </c>
      <c r="BFR9" s="8">
        <v>1524</v>
      </c>
      <c r="BFS9" s="8">
        <v>1525</v>
      </c>
      <c r="BFT9" s="8">
        <v>1526</v>
      </c>
      <c r="BFU9" s="8">
        <v>1527</v>
      </c>
      <c r="BFV9" s="8">
        <v>1528</v>
      </c>
      <c r="BFW9" s="8">
        <v>1529</v>
      </c>
      <c r="BFX9" s="8">
        <v>1530</v>
      </c>
      <c r="BFY9" s="8">
        <v>1531</v>
      </c>
      <c r="BFZ9" s="8">
        <v>1532</v>
      </c>
      <c r="BGA9" s="8">
        <v>1533</v>
      </c>
      <c r="BGB9" s="8">
        <v>1534</v>
      </c>
      <c r="BGC9" s="8">
        <v>1535</v>
      </c>
      <c r="BGD9" s="8">
        <v>1536</v>
      </c>
      <c r="BGE9" s="8">
        <v>1537</v>
      </c>
      <c r="BGF9" s="8">
        <v>1538</v>
      </c>
      <c r="BGG9" s="8">
        <v>1539</v>
      </c>
      <c r="BGH9" s="8">
        <v>1540</v>
      </c>
      <c r="BGI9" s="8">
        <v>1541</v>
      </c>
      <c r="BGJ9" s="8">
        <v>1542</v>
      </c>
      <c r="BGK9" s="8">
        <v>1543</v>
      </c>
      <c r="BGL9" s="8">
        <v>1544</v>
      </c>
      <c r="BGM9" s="8">
        <v>1545</v>
      </c>
      <c r="BGN9" s="8">
        <v>1546</v>
      </c>
      <c r="BGO9" s="8">
        <v>1547</v>
      </c>
      <c r="BGP9" s="8">
        <v>1548</v>
      </c>
      <c r="BGQ9" s="8">
        <v>1549</v>
      </c>
      <c r="BGR9" s="8">
        <v>1550</v>
      </c>
      <c r="BGS9" s="8">
        <v>1551</v>
      </c>
      <c r="BGT9" s="8">
        <v>1552</v>
      </c>
      <c r="BGU9" s="8">
        <v>1553</v>
      </c>
      <c r="BGV9" s="8">
        <v>1554</v>
      </c>
      <c r="BGW9" s="8">
        <v>1555</v>
      </c>
      <c r="BGX9" s="8">
        <v>1556</v>
      </c>
      <c r="BGY9" s="8">
        <v>1557</v>
      </c>
      <c r="BGZ9" s="8">
        <v>1558</v>
      </c>
      <c r="BHA9" s="8">
        <v>1559</v>
      </c>
      <c r="BHB9" s="8">
        <v>1560</v>
      </c>
      <c r="BHC9" s="8">
        <v>1561</v>
      </c>
      <c r="BHD9" s="8">
        <v>1562</v>
      </c>
      <c r="BHE9" s="8">
        <v>1563</v>
      </c>
      <c r="BHF9" s="8">
        <v>1564</v>
      </c>
      <c r="BHG9" s="8">
        <v>1565</v>
      </c>
      <c r="BHH9" s="8">
        <v>1566</v>
      </c>
      <c r="BHI9" s="8">
        <v>1567</v>
      </c>
      <c r="BHJ9" s="8">
        <v>1568</v>
      </c>
      <c r="BHK9" s="8">
        <v>1569</v>
      </c>
      <c r="BHL9" s="8">
        <v>1570</v>
      </c>
      <c r="BHM9" s="8">
        <v>1571</v>
      </c>
      <c r="BHN9" s="8">
        <v>1572</v>
      </c>
      <c r="BHO9" s="8">
        <v>1573</v>
      </c>
      <c r="BHP9" s="8">
        <v>1574</v>
      </c>
      <c r="BHQ9" s="8">
        <v>1575</v>
      </c>
      <c r="BHR9" s="8">
        <v>1576</v>
      </c>
      <c r="BHS9" s="8">
        <v>1577</v>
      </c>
      <c r="BHT9" s="8">
        <v>1578</v>
      </c>
      <c r="BHU9" s="8">
        <v>1579</v>
      </c>
      <c r="BHV9" s="8">
        <v>1580</v>
      </c>
      <c r="BHW9" s="8">
        <v>1581</v>
      </c>
      <c r="BHX9" s="8">
        <v>1582</v>
      </c>
      <c r="BHY9" s="8">
        <v>1583</v>
      </c>
      <c r="BHZ9" s="8">
        <v>1584</v>
      </c>
      <c r="BIA9" s="8">
        <v>1585</v>
      </c>
      <c r="BIB9" s="8">
        <v>1586</v>
      </c>
      <c r="BIC9" s="8">
        <v>1587</v>
      </c>
      <c r="BID9" s="8">
        <v>1588</v>
      </c>
      <c r="BIE9" s="8">
        <v>1589</v>
      </c>
      <c r="BIF9" s="8">
        <v>1590</v>
      </c>
      <c r="BIG9" s="8">
        <v>1591</v>
      </c>
      <c r="BIH9" s="8">
        <v>1592</v>
      </c>
      <c r="BII9" s="8">
        <v>1593</v>
      </c>
      <c r="BIJ9" s="8">
        <v>1594</v>
      </c>
      <c r="BIK9" s="8">
        <v>1595</v>
      </c>
      <c r="BIL9" s="8">
        <v>1596</v>
      </c>
      <c r="BIM9" s="8">
        <v>1597</v>
      </c>
      <c r="BIN9" s="8">
        <v>1598</v>
      </c>
      <c r="BIO9" s="8">
        <v>1599</v>
      </c>
      <c r="BIP9" s="8">
        <v>1600</v>
      </c>
      <c r="BIQ9" s="8">
        <v>1601</v>
      </c>
      <c r="BIR9" s="8">
        <v>1602</v>
      </c>
      <c r="BIS9" s="8">
        <v>1603</v>
      </c>
      <c r="BIT9" s="8">
        <v>1604</v>
      </c>
      <c r="BIU9" s="8">
        <v>1605</v>
      </c>
      <c r="BIV9" s="8">
        <v>1606</v>
      </c>
      <c r="BIW9" s="8">
        <v>1607</v>
      </c>
      <c r="BIX9" s="8">
        <v>1608</v>
      </c>
      <c r="BIY9" s="8">
        <v>1609</v>
      </c>
      <c r="BIZ9" s="8">
        <v>1610</v>
      </c>
      <c r="BJA9" s="8">
        <v>1611</v>
      </c>
      <c r="BJB9" s="8">
        <v>1612</v>
      </c>
      <c r="BJC9" s="8">
        <v>1613</v>
      </c>
      <c r="BJD9" s="8">
        <v>1614</v>
      </c>
      <c r="BJE9" s="8">
        <v>1615</v>
      </c>
      <c r="BJF9" s="8">
        <v>1616</v>
      </c>
      <c r="BJG9" s="8">
        <v>1617</v>
      </c>
      <c r="BJH9" s="8">
        <v>1618</v>
      </c>
      <c r="BJI9" s="8">
        <v>1619</v>
      </c>
      <c r="BJJ9" s="8">
        <v>1620</v>
      </c>
      <c r="BJK9" s="8">
        <v>1621</v>
      </c>
      <c r="BJL9" s="8">
        <v>1622</v>
      </c>
      <c r="BJM9" s="8">
        <v>1623</v>
      </c>
      <c r="BJN9" s="8">
        <v>1624</v>
      </c>
      <c r="BJO9" s="8">
        <v>1625</v>
      </c>
      <c r="BJP9" s="8">
        <v>1626</v>
      </c>
      <c r="BJQ9" s="8">
        <v>1627</v>
      </c>
      <c r="BJR9" s="8">
        <v>1628</v>
      </c>
      <c r="BJS9" s="8">
        <v>1629</v>
      </c>
      <c r="BJT9" s="8">
        <v>1630</v>
      </c>
      <c r="BJU9" s="8">
        <v>1631</v>
      </c>
      <c r="BJV9" s="8">
        <v>1632</v>
      </c>
      <c r="BJW9" s="8">
        <v>1633</v>
      </c>
      <c r="BJX9" s="8">
        <v>1634</v>
      </c>
      <c r="BJY9" s="8">
        <v>1635</v>
      </c>
      <c r="BJZ9" s="8">
        <v>1636</v>
      </c>
      <c r="BKA9" s="8">
        <v>1637</v>
      </c>
      <c r="BKB9" s="8">
        <v>1638</v>
      </c>
      <c r="BKC9" s="8">
        <v>1639</v>
      </c>
      <c r="BKD9" s="8">
        <v>1640</v>
      </c>
      <c r="BKE9" s="8">
        <v>1641</v>
      </c>
      <c r="BKF9" s="8">
        <v>1642</v>
      </c>
      <c r="BKG9" s="8">
        <v>1643</v>
      </c>
      <c r="BKH9" s="8">
        <v>1644</v>
      </c>
      <c r="BKI9" s="8">
        <v>1645</v>
      </c>
      <c r="BKJ9" s="8">
        <v>1646</v>
      </c>
      <c r="BKK9" s="8">
        <v>1647</v>
      </c>
      <c r="BKL9" s="8">
        <v>1648</v>
      </c>
      <c r="BKM9" s="8">
        <v>1649</v>
      </c>
      <c r="BKN9" s="8">
        <v>1650</v>
      </c>
      <c r="BKO9" s="8">
        <v>1651</v>
      </c>
      <c r="BKP9" s="8">
        <v>1652</v>
      </c>
      <c r="BKQ9" s="8">
        <v>1653</v>
      </c>
      <c r="BKR9" s="8">
        <v>1654</v>
      </c>
      <c r="BKS9" s="8">
        <v>1655</v>
      </c>
      <c r="BKT9" s="8">
        <v>1656</v>
      </c>
      <c r="BKU9" s="8">
        <v>1657</v>
      </c>
      <c r="BKV9" s="8">
        <v>1658</v>
      </c>
      <c r="BKW9" s="8">
        <v>1659</v>
      </c>
      <c r="BKX9" s="8">
        <v>1660</v>
      </c>
      <c r="BKY9" s="8">
        <v>1661</v>
      </c>
      <c r="BKZ9" s="8">
        <v>1662</v>
      </c>
      <c r="BLA9" s="8">
        <v>1663</v>
      </c>
      <c r="BLB9" s="8">
        <v>1664</v>
      </c>
      <c r="BLC9" s="8">
        <v>1665</v>
      </c>
      <c r="BLD9" s="8">
        <v>1666</v>
      </c>
      <c r="BLE9" s="8">
        <v>1667</v>
      </c>
      <c r="BLF9" s="8">
        <v>1668</v>
      </c>
      <c r="BLG9" s="8">
        <v>1669</v>
      </c>
      <c r="BLH9" s="8">
        <v>1670</v>
      </c>
      <c r="BLI9" s="8">
        <v>1671</v>
      </c>
      <c r="BLJ9" s="8">
        <v>1672</v>
      </c>
      <c r="BLK9" s="8">
        <v>1673</v>
      </c>
      <c r="BLL9" s="8">
        <v>1674</v>
      </c>
      <c r="BLM9" s="8">
        <v>1675</v>
      </c>
      <c r="BLN9" s="8">
        <v>1676</v>
      </c>
      <c r="BLO9" s="8">
        <v>1677</v>
      </c>
      <c r="BLP9" s="8">
        <v>1678</v>
      </c>
      <c r="BLQ9" s="8">
        <v>1679</v>
      </c>
      <c r="BLR9" s="8">
        <v>1680</v>
      </c>
      <c r="BLS9" s="8">
        <v>1681</v>
      </c>
      <c r="BLT9" s="8">
        <v>1682</v>
      </c>
      <c r="BLU9" s="8">
        <v>1683</v>
      </c>
      <c r="BLV9" s="8">
        <v>1684</v>
      </c>
      <c r="BLW9" s="8">
        <v>1685</v>
      </c>
      <c r="BLX9" s="8">
        <v>1686</v>
      </c>
      <c r="BLY9" s="8">
        <v>1687</v>
      </c>
      <c r="BLZ9" s="8">
        <v>1688</v>
      </c>
      <c r="BMA9" s="8">
        <v>1689</v>
      </c>
      <c r="BMB9" s="8">
        <v>1690</v>
      </c>
      <c r="BMC9" s="8">
        <v>1691</v>
      </c>
      <c r="BMD9" s="8">
        <v>1692</v>
      </c>
      <c r="BME9" s="8">
        <v>1693</v>
      </c>
      <c r="BMF9" s="8">
        <v>1694</v>
      </c>
      <c r="BMG9" s="8">
        <v>1695</v>
      </c>
      <c r="BMH9" s="8">
        <v>1696</v>
      </c>
      <c r="BMI9" s="8">
        <v>1697</v>
      </c>
      <c r="BMJ9" s="8">
        <v>1698</v>
      </c>
      <c r="BMK9" s="8">
        <v>1699</v>
      </c>
      <c r="BML9" s="8">
        <v>1700</v>
      </c>
      <c r="BMM9" s="8">
        <v>1701</v>
      </c>
      <c r="BMN9" s="8">
        <v>1702</v>
      </c>
      <c r="BMO9" s="8">
        <v>1703</v>
      </c>
      <c r="BMP9" s="8">
        <v>1704</v>
      </c>
      <c r="BMQ9" s="8">
        <v>1705</v>
      </c>
      <c r="BMR9" s="8">
        <v>1706</v>
      </c>
      <c r="BMS9" s="8">
        <v>1707</v>
      </c>
      <c r="BMT9" s="8">
        <v>1708</v>
      </c>
      <c r="BMU9" s="8">
        <v>1709</v>
      </c>
      <c r="BMV9" s="8">
        <v>1710</v>
      </c>
      <c r="BMW9" s="8">
        <v>1711</v>
      </c>
      <c r="BMX9" s="8">
        <v>1712</v>
      </c>
      <c r="BMY9" s="8">
        <v>1713</v>
      </c>
      <c r="BMZ9" s="8">
        <v>1714</v>
      </c>
      <c r="BNA9" s="8">
        <v>1715</v>
      </c>
      <c r="BNB9" s="8">
        <v>1716</v>
      </c>
      <c r="BNC9" s="8">
        <v>1717</v>
      </c>
      <c r="BND9" s="8">
        <v>1718</v>
      </c>
      <c r="BNE9" s="8">
        <v>1719</v>
      </c>
      <c r="BNF9" s="8">
        <v>1720</v>
      </c>
      <c r="BNG9" s="8">
        <v>1721</v>
      </c>
      <c r="BNH9" s="8">
        <v>1722</v>
      </c>
      <c r="BNI9" s="8">
        <v>1723</v>
      </c>
      <c r="BNJ9" s="8">
        <v>1724</v>
      </c>
      <c r="BNK9" s="8">
        <v>1725</v>
      </c>
      <c r="BNL9" s="8">
        <v>1726</v>
      </c>
      <c r="BNM9" s="8">
        <v>1727</v>
      </c>
      <c r="BNN9" s="8">
        <v>1728</v>
      </c>
      <c r="BNO9" s="8">
        <v>1729</v>
      </c>
      <c r="BNP9" s="8">
        <v>1730</v>
      </c>
      <c r="BNQ9" s="8">
        <v>1731</v>
      </c>
      <c r="BNR9" s="8">
        <v>1732</v>
      </c>
      <c r="BNS9" s="8">
        <v>1733</v>
      </c>
      <c r="BNT9" s="8">
        <v>1734</v>
      </c>
      <c r="BNU9" s="8">
        <v>1735</v>
      </c>
      <c r="BNV9" s="8">
        <v>1736</v>
      </c>
      <c r="BNW9" s="8">
        <v>1737</v>
      </c>
      <c r="BNX9" s="8">
        <v>1738</v>
      </c>
      <c r="BNY9" s="8">
        <v>1739</v>
      </c>
      <c r="BNZ9" s="8">
        <v>1740</v>
      </c>
      <c r="BOA9" s="8">
        <v>1741</v>
      </c>
      <c r="BOB9" s="8">
        <v>1742</v>
      </c>
      <c r="BOC9" s="8">
        <v>1743</v>
      </c>
      <c r="BOD9" s="8">
        <v>1744</v>
      </c>
      <c r="BOE9" s="8">
        <v>1745</v>
      </c>
      <c r="BOF9" s="8">
        <v>1746</v>
      </c>
      <c r="BOG9" s="8">
        <v>1747</v>
      </c>
      <c r="BOH9" s="8">
        <v>1748</v>
      </c>
      <c r="BOI9" s="8">
        <v>1749</v>
      </c>
      <c r="BOJ9" s="8">
        <v>1750</v>
      </c>
      <c r="BOK9" s="8">
        <v>1751</v>
      </c>
      <c r="BOL9" s="8">
        <v>1752</v>
      </c>
      <c r="BOM9" s="8">
        <v>1753</v>
      </c>
      <c r="BON9" s="8">
        <v>1754</v>
      </c>
      <c r="BOO9" s="8">
        <v>1755</v>
      </c>
      <c r="BOP9" s="8">
        <v>1756</v>
      </c>
      <c r="BOQ9" s="8">
        <v>1757</v>
      </c>
      <c r="BOR9" s="8">
        <v>1758</v>
      </c>
      <c r="BOS9" s="8">
        <v>1759</v>
      </c>
      <c r="BOT9" s="8">
        <v>1760</v>
      </c>
      <c r="BOU9" s="8">
        <v>1761</v>
      </c>
      <c r="BOV9" s="8">
        <v>1762</v>
      </c>
      <c r="BOW9" s="8">
        <v>1763</v>
      </c>
      <c r="BOX9" s="8">
        <v>1764</v>
      </c>
      <c r="BOY9" s="8">
        <v>1765</v>
      </c>
      <c r="BOZ9" s="8">
        <v>1766</v>
      </c>
      <c r="BPA9" s="8">
        <v>1767</v>
      </c>
      <c r="BPB9" s="8">
        <v>1768</v>
      </c>
      <c r="BPC9" s="8">
        <v>1769</v>
      </c>
      <c r="BPD9" s="8">
        <v>1770</v>
      </c>
      <c r="BPE9" s="8">
        <v>1771</v>
      </c>
      <c r="BPF9" s="8">
        <v>1772</v>
      </c>
      <c r="BPG9" s="8">
        <v>1773</v>
      </c>
      <c r="BPH9" s="8">
        <v>1774</v>
      </c>
      <c r="BPI9" s="8">
        <v>1775</v>
      </c>
      <c r="BPJ9" s="8">
        <v>1776</v>
      </c>
      <c r="BPK9" s="8">
        <v>1777</v>
      </c>
      <c r="BPL9" s="8">
        <v>1778</v>
      </c>
      <c r="BPM9" s="8">
        <v>1779</v>
      </c>
      <c r="BPN9" s="8">
        <v>1780</v>
      </c>
      <c r="BPO9" s="8">
        <v>1781</v>
      </c>
      <c r="BPP9" s="8">
        <v>1782</v>
      </c>
      <c r="BPQ9" s="8">
        <v>1783</v>
      </c>
      <c r="BPR9" s="8">
        <v>1784</v>
      </c>
      <c r="BPS9" s="8">
        <v>1785</v>
      </c>
      <c r="BPT9" s="8">
        <v>1786</v>
      </c>
      <c r="BPU9" s="8">
        <v>1787</v>
      </c>
      <c r="BPV9" s="8">
        <v>1788</v>
      </c>
      <c r="BPW9" s="8">
        <v>1789</v>
      </c>
      <c r="BPX9" s="8">
        <v>1790</v>
      </c>
      <c r="BPY9" s="8">
        <v>1791</v>
      </c>
      <c r="BPZ9" s="8">
        <v>1792</v>
      </c>
      <c r="BQA9" s="8">
        <v>1793</v>
      </c>
      <c r="BQB9" s="8">
        <v>1794</v>
      </c>
      <c r="BQC9" s="8">
        <v>1795</v>
      </c>
      <c r="BQD9" s="8">
        <v>1796</v>
      </c>
      <c r="BQE9" s="8">
        <v>1797</v>
      </c>
      <c r="BQF9" s="8">
        <v>1798</v>
      </c>
      <c r="BQG9" s="8">
        <v>1799</v>
      </c>
      <c r="BQH9" s="8">
        <v>1800</v>
      </c>
      <c r="BQI9" s="8">
        <v>1801</v>
      </c>
      <c r="BQJ9" s="8">
        <v>1802</v>
      </c>
      <c r="BQK9" s="8">
        <v>1803</v>
      </c>
      <c r="BQL9" s="8">
        <v>1804</v>
      </c>
      <c r="BQM9" s="8">
        <v>1805</v>
      </c>
      <c r="BQN9" s="8">
        <v>1806</v>
      </c>
      <c r="BQO9" s="8">
        <v>1807</v>
      </c>
      <c r="BQP9" s="8">
        <v>1808</v>
      </c>
      <c r="BQQ9" s="8">
        <v>1809</v>
      </c>
      <c r="BQR9" s="8">
        <v>1810</v>
      </c>
      <c r="BQS9" s="8">
        <v>1811</v>
      </c>
      <c r="BQT9" s="8">
        <v>1812</v>
      </c>
      <c r="BQU9" s="8">
        <v>1813</v>
      </c>
      <c r="BQV9" s="8">
        <v>1814</v>
      </c>
      <c r="BQW9" s="8">
        <v>1815</v>
      </c>
      <c r="BQX9" s="8">
        <v>1816</v>
      </c>
      <c r="BQY9" s="8">
        <v>1817</v>
      </c>
      <c r="BQZ9" s="8">
        <v>1818</v>
      </c>
      <c r="BRA9" s="8">
        <v>1819</v>
      </c>
      <c r="BRB9" s="8">
        <v>1820</v>
      </c>
      <c r="BRC9" s="8">
        <v>1821</v>
      </c>
      <c r="BRD9" s="8">
        <v>1822</v>
      </c>
      <c r="BRE9" s="8">
        <v>1823</v>
      </c>
      <c r="BRF9" s="8">
        <v>1824</v>
      </c>
      <c r="BRG9" s="8">
        <v>1825</v>
      </c>
      <c r="BRH9" s="8">
        <v>1826</v>
      </c>
      <c r="BRI9" s="8">
        <v>1827</v>
      </c>
      <c r="BRJ9" s="8">
        <v>1828</v>
      </c>
      <c r="BRK9" s="8">
        <v>1829</v>
      </c>
      <c r="BRL9" s="8">
        <v>1830</v>
      </c>
      <c r="BRM9" s="8">
        <v>1831</v>
      </c>
      <c r="BRN9" s="8">
        <v>1832</v>
      </c>
      <c r="BRO9" s="8">
        <v>1833</v>
      </c>
      <c r="BRP9" s="8">
        <v>1834</v>
      </c>
      <c r="BRQ9" s="8">
        <v>1835</v>
      </c>
      <c r="BRR9" s="8">
        <v>1836</v>
      </c>
      <c r="BRS9" s="8">
        <v>1837</v>
      </c>
      <c r="BRT9" s="8">
        <v>1838</v>
      </c>
      <c r="BRU9" s="8">
        <v>1839</v>
      </c>
      <c r="BRV9" s="8">
        <v>1840</v>
      </c>
      <c r="BRW9" s="8">
        <v>1841</v>
      </c>
      <c r="BRX9" s="8">
        <v>1842</v>
      </c>
      <c r="BRY9" s="8">
        <v>1843</v>
      </c>
      <c r="BRZ9" s="8">
        <v>1844</v>
      </c>
      <c r="BSA9" s="8">
        <v>1845</v>
      </c>
      <c r="BSB9" s="8">
        <v>1846</v>
      </c>
      <c r="BSC9" s="8">
        <v>1847</v>
      </c>
      <c r="BSD9" s="8">
        <v>1848</v>
      </c>
      <c r="BSE9" s="8">
        <v>1849</v>
      </c>
      <c r="BSF9" s="8">
        <v>1850</v>
      </c>
      <c r="BSG9" s="8">
        <v>1851</v>
      </c>
      <c r="BSH9" s="8">
        <v>1852</v>
      </c>
      <c r="BSI9" s="8">
        <v>1853</v>
      </c>
      <c r="BSJ9" s="8">
        <v>1854</v>
      </c>
      <c r="BSK9" s="8">
        <v>1855</v>
      </c>
      <c r="BSL9" s="8">
        <v>1856</v>
      </c>
      <c r="BSM9" s="8">
        <v>1857</v>
      </c>
      <c r="BSN9" s="8">
        <v>1858</v>
      </c>
      <c r="BSO9" s="8">
        <v>1859</v>
      </c>
      <c r="BSP9" s="8">
        <v>1860</v>
      </c>
      <c r="BSQ9" s="8">
        <v>1861</v>
      </c>
      <c r="BSR9" s="8">
        <v>1862</v>
      </c>
      <c r="BSS9" s="8">
        <v>1863</v>
      </c>
      <c r="BST9" s="8">
        <v>1864</v>
      </c>
      <c r="BSU9" s="8">
        <v>1865</v>
      </c>
      <c r="BSV9" s="8">
        <v>1866</v>
      </c>
      <c r="BSW9" s="8">
        <v>1867</v>
      </c>
      <c r="BSX9" s="8">
        <v>1868</v>
      </c>
      <c r="BSY9" s="8">
        <v>1869</v>
      </c>
      <c r="BSZ9" s="8">
        <v>1870</v>
      </c>
      <c r="BTA9" s="8">
        <v>1871</v>
      </c>
      <c r="BTB9" s="8">
        <v>1872</v>
      </c>
      <c r="BTC9" s="8">
        <v>1873</v>
      </c>
      <c r="BTD9" s="8">
        <v>1874</v>
      </c>
      <c r="BTE9" s="8">
        <v>1875</v>
      </c>
      <c r="BTF9" s="8">
        <v>1876</v>
      </c>
      <c r="BTG9" s="8">
        <v>1877</v>
      </c>
      <c r="BTH9" s="8">
        <v>1878</v>
      </c>
      <c r="BTI9" s="8">
        <v>1879</v>
      </c>
      <c r="BTJ9" s="8">
        <v>1880</v>
      </c>
      <c r="BTK9" s="8">
        <v>1881</v>
      </c>
      <c r="BTL9" s="8">
        <v>1882</v>
      </c>
      <c r="BTM9" s="8">
        <v>1883</v>
      </c>
      <c r="BTN9" s="8">
        <v>1884</v>
      </c>
      <c r="BTO9" s="8">
        <v>1885</v>
      </c>
      <c r="BTP9" s="8">
        <v>1886</v>
      </c>
      <c r="BTQ9" s="8">
        <v>1887</v>
      </c>
      <c r="BTR9" s="8">
        <v>1888</v>
      </c>
      <c r="BTS9" s="8">
        <v>1889</v>
      </c>
      <c r="BTT9" s="8">
        <v>1890</v>
      </c>
      <c r="BTU9" s="8">
        <v>1891</v>
      </c>
      <c r="BTV9" s="8">
        <v>1892</v>
      </c>
      <c r="BTW9" s="8">
        <v>1893</v>
      </c>
      <c r="BTX9" s="8">
        <v>1894</v>
      </c>
      <c r="BTY9" s="8">
        <v>1895</v>
      </c>
      <c r="BTZ9" s="8">
        <v>1896</v>
      </c>
      <c r="BUA9" s="8">
        <v>1897</v>
      </c>
      <c r="BUB9" s="8">
        <v>1898</v>
      </c>
      <c r="BUC9" s="8">
        <v>1899</v>
      </c>
      <c r="BUD9" s="8">
        <v>1900</v>
      </c>
      <c r="BUE9" s="8">
        <v>1901</v>
      </c>
      <c r="BUF9" s="8">
        <v>1902</v>
      </c>
      <c r="BUG9" s="8">
        <v>1903</v>
      </c>
      <c r="BUH9" s="8">
        <v>1904</v>
      </c>
      <c r="BUI9" s="8">
        <v>1905</v>
      </c>
      <c r="BUJ9" s="8">
        <v>1906</v>
      </c>
      <c r="BUK9" s="8">
        <v>1907</v>
      </c>
      <c r="BUL9" s="8">
        <v>1908</v>
      </c>
      <c r="BUM9" s="8">
        <v>1909</v>
      </c>
      <c r="BUN9" s="8">
        <v>1910</v>
      </c>
      <c r="BUO9" s="8">
        <v>1911</v>
      </c>
      <c r="BUP9" s="8">
        <v>1912</v>
      </c>
      <c r="BUQ9" s="8">
        <v>1913</v>
      </c>
      <c r="BUR9" s="8">
        <v>1914</v>
      </c>
      <c r="BUS9" s="8">
        <v>1915</v>
      </c>
      <c r="BUT9" s="8">
        <v>1916</v>
      </c>
      <c r="BUU9" s="8">
        <v>1917</v>
      </c>
      <c r="BUV9" s="8">
        <v>1918</v>
      </c>
      <c r="BUW9" s="8">
        <v>1919</v>
      </c>
      <c r="BUX9" s="8">
        <v>1920</v>
      </c>
      <c r="BUY9" s="8">
        <v>1921</v>
      </c>
      <c r="BUZ9" s="8">
        <v>1922</v>
      </c>
      <c r="BVA9" s="8">
        <v>1923</v>
      </c>
      <c r="BVB9" s="8">
        <v>1924</v>
      </c>
      <c r="BVC9" s="8">
        <v>1925</v>
      </c>
      <c r="BVD9" s="8">
        <v>1926</v>
      </c>
      <c r="BVE9" s="8">
        <v>1927</v>
      </c>
      <c r="BVF9" s="8">
        <v>1928</v>
      </c>
      <c r="BVG9" s="8">
        <v>1929</v>
      </c>
      <c r="BVH9" s="8">
        <v>1930</v>
      </c>
      <c r="BVI9" s="8">
        <v>1931</v>
      </c>
      <c r="BVJ9" s="8">
        <v>1932</v>
      </c>
      <c r="BVK9" s="8">
        <v>1933</v>
      </c>
      <c r="BVL9" s="8">
        <v>1934</v>
      </c>
      <c r="BVM9" s="8">
        <v>1935</v>
      </c>
      <c r="BVN9" s="8">
        <v>1936</v>
      </c>
      <c r="BVO9" s="8">
        <v>1937</v>
      </c>
      <c r="BVP9" s="8">
        <v>1938</v>
      </c>
      <c r="BVQ9" s="8">
        <v>1939</v>
      </c>
      <c r="BVR9" s="8">
        <v>1940</v>
      </c>
      <c r="BVS9" s="8">
        <v>1941</v>
      </c>
      <c r="BVT9" s="8">
        <v>1942</v>
      </c>
      <c r="BVU9" s="8">
        <v>1943</v>
      </c>
      <c r="BVV9" s="8">
        <v>1944</v>
      </c>
      <c r="BVW9" s="8">
        <v>1945</v>
      </c>
      <c r="BVX9" s="8">
        <v>1946</v>
      </c>
      <c r="BVY9" s="8">
        <v>1947</v>
      </c>
      <c r="BVZ9" s="8">
        <v>1948</v>
      </c>
      <c r="BWA9" s="8">
        <v>1949</v>
      </c>
      <c r="BWB9" s="8">
        <v>1950</v>
      </c>
      <c r="BWC9" s="8">
        <v>1951</v>
      </c>
      <c r="BWD9" s="8">
        <v>1952</v>
      </c>
      <c r="BWE9" s="8">
        <v>1953</v>
      </c>
      <c r="BWF9" s="8">
        <v>1954</v>
      </c>
      <c r="BWG9" s="8">
        <v>1955</v>
      </c>
      <c r="BWH9" s="8">
        <v>1956</v>
      </c>
      <c r="BWI9" s="8">
        <v>1957</v>
      </c>
      <c r="BWJ9" s="8">
        <v>1958</v>
      </c>
      <c r="BWK9" s="8">
        <v>1959</v>
      </c>
      <c r="BWL9" s="8">
        <v>1960</v>
      </c>
      <c r="BWM9" s="8">
        <v>1961</v>
      </c>
      <c r="BWN9" s="8">
        <v>1962</v>
      </c>
      <c r="BWO9" s="8">
        <v>1963</v>
      </c>
      <c r="BWP9" s="8">
        <v>1964</v>
      </c>
      <c r="BWQ9" s="8">
        <v>1965</v>
      </c>
      <c r="BWR9" s="8">
        <v>1966</v>
      </c>
      <c r="BWS9" s="8">
        <v>1967</v>
      </c>
      <c r="BWT9" s="8">
        <v>1968</v>
      </c>
      <c r="BWU9" s="8">
        <v>1969</v>
      </c>
      <c r="BWV9" s="8">
        <v>1970</v>
      </c>
      <c r="BWW9" s="8">
        <v>1971</v>
      </c>
      <c r="BWX9" s="8">
        <v>1972</v>
      </c>
      <c r="BWY9" s="8">
        <v>1973</v>
      </c>
      <c r="BWZ9" s="8">
        <v>1974</v>
      </c>
      <c r="BXA9" s="8">
        <v>1975</v>
      </c>
      <c r="BXB9" s="8">
        <v>1976</v>
      </c>
      <c r="BXC9" s="8">
        <v>1977</v>
      </c>
      <c r="BXD9" s="8">
        <v>1978</v>
      </c>
      <c r="BXE9" s="8">
        <v>1979</v>
      </c>
      <c r="BXF9" s="8">
        <v>1980</v>
      </c>
      <c r="BXG9" s="8">
        <v>1981</v>
      </c>
      <c r="BXH9" s="8">
        <v>1982</v>
      </c>
      <c r="BXI9" s="8">
        <v>1983</v>
      </c>
      <c r="BXJ9" s="8">
        <v>1984</v>
      </c>
      <c r="BXK9" s="8">
        <v>1985</v>
      </c>
      <c r="BXL9" s="8">
        <v>1986</v>
      </c>
      <c r="BXM9" s="8">
        <v>1987</v>
      </c>
      <c r="BXN9" s="8">
        <v>1988</v>
      </c>
      <c r="BXO9" s="8">
        <v>1989</v>
      </c>
      <c r="BXP9" s="8">
        <v>1990</v>
      </c>
      <c r="BXQ9" s="8">
        <v>1991</v>
      </c>
      <c r="BXR9" s="8">
        <v>1992</v>
      </c>
      <c r="BXS9" s="8">
        <v>1993</v>
      </c>
      <c r="BXT9" s="8">
        <v>1994</v>
      </c>
      <c r="BXU9" s="8">
        <v>1995</v>
      </c>
      <c r="BXV9" s="8">
        <v>1996</v>
      </c>
      <c r="BXW9" s="8">
        <v>1997</v>
      </c>
      <c r="BXX9" s="8">
        <v>1998</v>
      </c>
      <c r="BXY9" s="8">
        <v>1999</v>
      </c>
      <c r="BXZ9" s="8">
        <v>2000</v>
      </c>
      <c r="BYA9" s="8">
        <v>2001</v>
      </c>
      <c r="BYB9" s="8">
        <v>2002</v>
      </c>
      <c r="BYC9" s="8">
        <v>2003</v>
      </c>
      <c r="BYD9" s="8">
        <v>2004</v>
      </c>
      <c r="BYE9" s="8">
        <v>2005</v>
      </c>
      <c r="BYF9" s="8">
        <v>2006</v>
      </c>
      <c r="BYG9" s="8">
        <v>2007</v>
      </c>
      <c r="BYH9" s="8">
        <v>2008</v>
      </c>
      <c r="BYI9" s="8">
        <v>2009</v>
      </c>
      <c r="BYJ9" s="8">
        <v>2010</v>
      </c>
      <c r="BYK9" s="8">
        <v>2011</v>
      </c>
      <c r="BYL9" s="8">
        <v>2012</v>
      </c>
      <c r="BYM9" s="8">
        <v>2013</v>
      </c>
      <c r="BYN9" s="8">
        <v>2014</v>
      </c>
      <c r="BYO9" s="8">
        <v>2015</v>
      </c>
      <c r="BYP9" s="8">
        <v>2016</v>
      </c>
      <c r="BYQ9" s="8">
        <v>2017</v>
      </c>
      <c r="BYR9" s="8">
        <v>2018</v>
      </c>
      <c r="BYS9" s="8">
        <v>2019</v>
      </c>
      <c r="BYT9" s="8">
        <v>2020</v>
      </c>
      <c r="BYU9" s="8">
        <v>2021</v>
      </c>
      <c r="BYV9" s="8">
        <v>2022</v>
      </c>
      <c r="BYW9" s="8">
        <v>2023</v>
      </c>
      <c r="BYX9" s="8">
        <v>2024</v>
      </c>
      <c r="BYY9" s="8">
        <v>2025</v>
      </c>
      <c r="BYZ9" s="8">
        <v>2026</v>
      </c>
      <c r="BZA9" s="8">
        <v>2027</v>
      </c>
      <c r="BZB9" s="8">
        <v>2028</v>
      </c>
      <c r="BZC9" s="8">
        <v>2029</v>
      </c>
      <c r="BZD9" s="8">
        <v>2030</v>
      </c>
      <c r="BZE9" s="8">
        <v>2031</v>
      </c>
      <c r="BZF9" s="8">
        <v>2032</v>
      </c>
      <c r="BZG9" s="8">
        <v>2033</v>
      </c>
      <c r="BZH9" s="8">
        <v>2034</v>
      </c>
      <c r="BZI9" s="8">
        <v>2035</v>
      </c>
      <c r="BZJ9" s="8">
        <v>2036</v>
      </c>
      <c r="BZK9" s="8">
        <v>2037</v>
      </c>
      <c r="BZL9" s="8">
        <v>2038</v>
      </c>
      <c r="BZM9" s="8">
        <v>2039</v>
      </c>
      <c r="BZN9" s="8">
        <v>2040</v>
      </c>
      <c r="BZO9" s="8">
        <v>2041</v>
      </c>
      <c r="BZP9" s="8">
        <v>2042</v>
      </c>
      <c r="BZQ9" s="8">
        <v>2043</v>
      </c>
      <c r="BZR9" s="8">
        <v>2044</v>
      </c>
      <c r="BZS9" s="8">
        <v>2045</v>
      </c>
      <c r="BZT9" s="8">
        <v>2046</v>
      </c>
      <c r="BZU9" s="9">
        <v>2047</v>
      </c>
    </row>
    <row r="10" spans="1:2049" ht="15" thickBot="1" x14ac:dyDescent="0.35">
      <c r="A10" s="38"/>
      <c r="B10" s="37"/>
      <c r="C10" s="37"/>
      <c r="D10" s="37"/>
      <c r="E10" s="37"/>
      <c r="F10" s="37"/>
      <c r="G10" s="37"/>
      <c r="H10" s="37"/>
      <c r="I10" s="37"/>
      <c r="J10" s="37"/>
      <c r="K10" s="37"/>
      <c r="L10" s="37"/>
      <c r="M10" s="37"/>
      <c r="N10" s="37"/>
      <c r="O10" s="37"/>
      <c r="P10" s="37"/>
      <c r="Q10" s="37"/>
      <c r="R10" s="37"/>
      <c r="S10" s="37"/>
      <c r="T10" s="37"/>
      <c r="U10" s="37"/>
      <c r="V10" s="37"/>
      <c r="W10" s="37"/>
      <c r="X10" s="37"/>
      <c r="Y10" s="37"/>
      <c r="Z10" s="37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</row>
    <row r="11" spans="1:2049" ht="61.2" x14ac:dyDescent="1.1000000000000001">
      <c r="A11" s="38"/>
      <c r="B11" s="138"/>
      <c r="C11" s="139"/>
      <c r="D11" s="139"/>
      <c r="E11" s="139"/>
      <c r="F11" s="139"/>
      <c r="G11" s="140"/>
      <c r="H11" s="140"/>
      <c r="I11" s="141" t="s">
        <v>314</v>
      </c>
      <c r="J11" s="139"/>
      <c r="K11" s="139"/>
      <c r="L11" s="139"/>
      <c r="M11" s="139"/>
      <c r="N11" s="139"/>
      <c r="O11" s="139"/>
      <c r="P11" s="142"/>
      <c r="Q11" s="37"/>
      <c r="R11" s="143"/>
      <c r="S11" s="37"/>
      <c r="T11" s="37"/>
      <c r="U11" s="37"/>
      <c r="V11" s="37"/>
      <c r="W11" s="37"/>
      <c r="X11" s="37"/>
      <c r="Y11" s="37"/>
      <c r="Z11" s="37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ZA11" t="s">
        <v>387</v>
      </c>
    </row>
    <row r="12" spans="1:2049" x14ac:dyDescent="0.3">
      <c r="A12" s="38"/>
      <c r="B12" s="144"/>
      <c r="C12" s="145"/>
      <c r="D12" s="145"/>
      <c r="E12" s="145"/>
      <c r="F12" s="145"/>
      <c r="G12" s="145"/>
      <c r="H12" s="145"/>
      <c r="I12" s="145"/>
      <c r="J12" s="145"/>
      <c r="K12" s="145"/>
      <c r="L12" s="145"/>
      <c r="M12" s="145"/>
      <c r="N12" s="145"/>
      <c r="O12" s="145"/>
      <c r="P12" s="146"/>
      <c r="Q12" s="37"/>
      <c r="R12" s="37"/>
      <c r="S12" s="37"/>
      <c r="T12" s="37"/>
      <c r="U12" s="37"/>
      <c r="V12" s="37"/>
      <c r="W12" s="37"/>
      <c r="X12" s="37"/>
      <c r="Y12" s="37"/>
      <c r="Z12" s="37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</row>
    <row r="13" spans="1:2049" ht="34.5" customHeight="1" x14ac:dyDescent="0.35">
      <c r="A13" s="38"/>
      <c r="B13" s="144"/>
      <c r="C13" s="181" t="s">
        <v>317</v>
      </c>
      <c r="D13" s="181"/>
      <c r="E13" s="181"/>
      <c r="F13" s="147"/>
      <c r="G13" s="181" t="s">
        <v>319</v>
      </c>
      <c r="H13" s="181"/>
      <c r="I13" s="181"/>
      <c r="J13" s="145"/>
      <c r="K13" s="145"/>
      <c r="L13" s="181" t="s">
        <v>318</v>
      </c>
      <c r="M13" s="181"/>
      <c r="N13" s="181"/>
      <c r="O13" s="145"/>
      <c r="P13" s="146"/>
      <c r="Q13" s="37"/>
      <c r="R13" s="37"/>
      <c r="S13" s="37"/>
      <c r="T13" s="37"/>
      <c r="U13" s="37"/>
      <c r="V13" s="37"/>
      <c r="W13" s="37"/>
      <c r="X13" s="37"/>
      <c r="Y13" s="37"/>
      <c r="Z13" s="37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</row>
    <row r="14" spans="1:2049" ht="15" thickBot="1" x14ac:dyDescent="0.35">
      <c r="A14" s="38"/>
      <c r="B14" s="144"/>
      <c r="C14" s="145"/>
      <c r="D14" s="145"/>
      <c r="E14" s="145"/>
      <c r="F14" s="145"/>
      <c r="G14" s="145"/>
      <c r="H14" s="145"/>
      <c r="I14" s="145"/>
      <c r="J14" s="145"/>
      <c r="K14" s="145"/>
      <c r="L14" s="145"/>
      <c r="M14" s="145"/>
      <c r="N14" s="145"/>
      <c r="O14" s="145"/>
      <c r="P14" s="146"/>
      <c r="Q14" s="37"/>
      <c r="R14" s="37"/>
      <c r="S14" s="37"/>
      <c r="T14" s="37"/>
      <c r="U14" s="37"/>
      <c r="V14" s="37"/>
      <c r="W14" s="37"/>
      <c r="X14" s="37"/>
      <c r="Y14" s="37"/>
      <c r="Z14" s="37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19"/>
      <c r="AR14" s="19"/>
    </row>
    <row r="15" spans="1:2049" ht="23.25" customHeight="1" x14ac:dyDescent="0.35">
      <c r="A15" s="38"/>
      <c r="B15" s="144"/>
      <c r="C15" s="148"/>
      <c r="D15" s="149" t="s">
        <v>243</v>
      </c>
      <c r="E15" s="150"/>
      <c r="F15" s="145"/>
      <c r="G15" s="151"/>
      <c r="H15" s="149" t="s">
        <v>243</v>
      </c>
      <c r="I15" s="150"/>
      <c r="J15" s="145"/>
      <c r="K15" s="145"/>
      <c r="L15" s="152"/>
      <c r="M15" s="153" t="s">
        <v>324</v>
      </c>
      <c r="N15" s="154"/>
      <c r="O15" s="145"/>
      <c r="P15" s="146"/>
      <c r="Q15" s="37"/>
      <c r="R15" s="37"/>
      <c r="S15" s="37"/>
      <c r="T15" s="37"/>
      <c r="U15" s="37"/>
      <c r="V15" s="37"/>
      <c r="W15" s="37"/>
      <c r="X15" s="37"/>
      <c r="Y15" s="37"/>
      <c r="Z15" s="37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9"/>
      <c r="AQ15" s="19"/>
      <c r="AR15" s="19"/>
    </row>
    <row r="16" spans="1:2049" ht="8.25" customHeight="1" thickBot="1" x14ac:dyDescent="0.35">
      <c r="A16" s="38"/>
      <c r="B16" s="144"/>
      <c r="C16" s="155"/>
      <c r="D16" s="51"/>
      <c r="E16" s="156"/>
      <c r="F16" s="145"/>
      <c r="G16" s="155"/>
      <c r="H16" s="51"/>
      <c r="I16" s="156"/>
      <c r="J16" s="145"/>
      <c r="K16" s="145"/>
      <c r="L16" s="157"/>
      <c r="M16" s="158"/>
      <c r="N16" s="159"/>
      <c r="O16" s="145"/>
      <c r="P16" s="146"/>
      <c r="Q16" s="37"/>
      <c r="R16" s="37"/>
      <c r="S16" s="37"/>
      <c r="T16" s="37"/>
      <c r="U16" s="37"/>
      <c r="V16" s="37"/>
      <c r="W16" s="37"/>
      <c r="X16" s="37"/>
      <c r="Y16" s="37"/>
      <c r="Z16" s="37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19"/>
      <c r="AP16" s="19"/>
      <c r="AQ16" s="19"/>
      <c r="AR16" s="19"/>
    </row>
    <row r="17" spans="1:211" ht="28.8" x14ac:dyDescent="0.55000000000000004">
      <c r="A17" s="38"/>
      <c r="B17" s="144"/>
      <c r="C17" s="155"/>
      <c r="D17" s="51"/>
      <c r="E17" s="156"/>
      <c r="F17" s="145"/>
      <c r="G17" s="160"/>
      <c r="H17" s="51"/>
      <c r="I17" s="156"/>
      <c r="J17" s="145"/>
      <c r="K17" s="145"/>
      <c r="L17" s="157"/>
      <c r="M17" s="158"/>
      <c r="N17" s="159"/>
      <c r="O17" s="145"/>
      <c r="P17" s="146"/>
      <c r="Q17" s="37"/>
      <c r="R17" s="54" t="s">
        <v>320</v>
      </c>
      <c r="S17" s="55"/>
      <c r="T17" s="55"/>
      <c r="U17" s="55"/>
      <c r="V17" s="55"/>
      <c r="W17" s="55"/>
      <c r="X17" s="55"/>
      <c r="Y17" s="55"/>
      <c r="Z17" s="56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19"/>
      <c r="AP17" s="19"/>
      <c r="AQ17" s="19"/>
      <c r="AR17" s="19"/>
    </row>
    <row r="18" spans="1:211" ht="19.5" customHeight="1" x14ac:dyDescent="0.3">
      <c r="A18" s="38"/>
      <c r="B18" s="144"/>
      <c r="C18" s="155"/>
      <c r="D18" s="51"/>
      <c r="E18" s="156"/>
      <c r="F18" s="145"/>
      <c r="G18" s="155"/>
      <c r="H18" s="51"/>
      <c r="I18" s="156"/>
      <c r="J18" s="145"/>
      <c r="K18" s="145"/>
      <c r="L18" s="157"/>
      <c r="M18" s="158"/>
      <c r="N18" s="159"/>
      <c r="O18" s="145"/>
      <c r="P18" s="146"/>
      <c r="Q18" s="37"/>
      <c r="R18" s="57" t="s">
        <v>322</v>
      </c>
      <c r="S18" s="58"/>
      <c r="T18" s="58"/>
      <c r="U18" s="58"/>
      <c r="V18" s="58"/>
      <c r="W18" s="58"/>
      <c r="X18" s="58"/>
      <c r="Y18" s="58"/>
      <c r="Z18" s="5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19"/>
      <c r="AR18" s="19"/>
    </row>
    <row r="19" spans="1:211" x14ac:dyDescent="0.3">
      <c r="A19" s="38"/>
      <c r="B19" s="144"/>
      <c r="C19" s="155"/>
      <c r="D19" s="51"/>
      <c r="E19" s="156"/>
      <c r="F19" s="145"/>
      <c r="G19" s="155"/>
      <c r="H19" s="51"/>
      <c r="I19" s="156"/>
      <c r="J19" s="145"/>
      <c r="K19" s="145"/>
      <c r="L19" s="157"/>
      <c r="M19" s="158"/>
      <c r="N19" s="159"/>
      <c r="O19" s="145"/>
      <c r="P19" s="146"/>
      <c r="Q19" s="37"/>
      <c r="R19" s="57" t="s">
        <v>321</v>
      </c>
      <c r="S19" s="58"/>
      <c r="T19" s="58"/>
      <c r="U19" s="58"/>
      <c r="V19" s="58"/>
      <c r="W19" s="58"/>
      <c r="X19" s="58"/>
      <c r="Y19" s="58"/>
      <c r="Z19" s="5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19"/>
      <c r="AP19" s="19"/>
      <c r="AQ19" s="19"/>
      <c r="AR19" s="19"/>
    </row>
    <row r="20" spans="1:211" x14ac:dyDescent="0.3">
      <c r="A20" s="38"/>
      <c r="B20" s="144"/>
      <c r="C20" s="155"/>
      <c r="D20" s="51"/>
      <c r="E20" s="156"/>
      <c r="F20" s="145"/>
      <c r="G20" s="155"/>
      <c r="H20" s="51"/>
      <c r="I20" s="156"/>
      <c r="J20" s="145"/>
      <c r="K20" s="145"/>
      <c r="L20" s="157"/>
      <c r="M20" s="158"/>
      <c r="N20" s="159"/>
      <c r="O20" s="145"/>
      <c r="P20" s="146"/>
      <c r="Q20" s="37"/>
      <c r="R20" s="57" t="s">
        <v>323</v>
      </c>
      <c r="S20" s="58"/>
      <c r="T20" s="58"/>
      <c r="U20" s="58"/>
      <c r="V20" s="58"/>
      <c r="W20" s="58"/>
      <c r="X20" s="58"/>
      <c r="Y20" s="58"/>
      <c r="Z20" s="5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19"/>
      <c r="AR20" s="19"/>
    </row>
    <row r="21" spans="1:211" ht="18" customHeight="1" thickBot="1" x14ac:dyDescent="0.6">
      <c r="A21" s="38"/>
      <c r="B21" s="144"/>
      <c r="C21" s="161"/>
      <c r="D21" s="162"/>
      <c r="E21" s="163"/>
      <c r="F21" s="145"/>
      <c r="G21" s="164"/>
      <c r="H21" s="162"/>
      <c r="I21" s="163"/>
      <c r="J21" s="145"/>
      <c r="K21" s="145"/>
      <c r="L21" s="165"/>
      <c r="M21" s="166"/>
      <c r="N21" s="167"/>
      <c r="O21" s="145"/>
      <c r="P21" s="146"/>
      <c r="Q21" s="37"/>
      <c r="R21" s="57" t="s">
        <v>469</v>
      </c>
      <c r="S21" s="58"/>
      <c r="T21" s="58"/>
      <c r="U21" s="58"/>
      <c r="V21" s="58"/>
      <c r="W21" s="58"/>
      <c r="X21" s="58"/>
      <c r="Y21" s="58"/>
      <c r="Z21" s="5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19"/>
      <c r="AP21" s="19"/>
      <c r="AQ21" s="19"/>
      <c r="AR21" s="19"/>
    </row>
    <row r="22" spans="1:211" ht="11.25" customHeight="1" x14ac:dyDescent="0.3">
      <c r="A22" s="38"/>
      <c r="B22" s="144"/>
      <c r="C22" s="145"/>
      <c r="D22" s="145"/>
      <c r="E22" s="145"/>
      <c r="F22" s="145"/>
      <c r="G22" s="145"/>
      <c r="H22" s="145"/>
      <c r="I22" s="145"/>
      <c r="J22" s="145"/>
      <c r="K22" s="145"/>
      <c r="L22" s="145"/>
      <c r="M22" s="145"/>
      <c r="N22" s="145"/>
      <c r="O22" s="145"/>
      <c r="P22" s="146"/>
      <c r="Q22" s="37"/>
      <c r="R22" s="57" t="s">
        <v>466</v>
      </c>
      <c r="S22" s="58"/>
      <c r="T22" s="58"/>
      <c r="U22" s="58"/>
      <c r="V22" s="58"/>
      <c r="W22" s="58"/>
      <c r="X22" s="58"/>
      <c r="Y22" s="58"/>
      <c r="Z22" s="5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19"/>
      <c r="AP22" s="19"/>
      <c r="AQ22" s="19"/>
      <c r="AR22" s="19"/>
    </row>
    <row r="23" spans="1:211" x14ac:dyDescent="0.3">
      <c r="A23" s="38"/>
      <c r="B23" s="144"/>
      <c r="C23" s="145"/>
      <c r="D23" s="145"/>
      <c r="E23" s="145"/>
      <c r="F23" s="145"/>
      <c r="G23" s="145"/>
      <c r="H23" s="145"/>
      <c r="I23" s="145"/>
      <c r="J23" s="145"/>
      <c r="K23" s="145"/>
      <c r="L23" s="145"/>
      <c r="M23" s="145"/>
      <c r="N23" s="145"/>
      <c r="O23" s="145"/>
      <c r="P23" s="146"/>
      <c r="Q23" s="37"/>
      <c r="R23" s="57" t="s">
        <v>467</v>
      </c>
      <c r="S23" s="58"/>
      <c r="T23" s="58"/>
      <c r="U23" s="58"/>
      <c r="V23" s="58"/>
      <c r="W23" s="58"/>
      <c r="X23" s="58"/>
      <c r="Y23" s="58"/>
      <c r="Z23" s="5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19"/>
      <c r="AP23" s="19"/>
      <c r="AQ23" s="19"/>
      <c r="AR23" s="19"/>
    </row>
    <row r="24" spans="1:211" ht="21.75" customHeight="1" thickBot="1" x14ac:dyDescent="0.6">
      <c r="A24" s="38"/>
      <c r="B24" s="144"/>
      <c r="C24" s="168" t="s">
        <v>187</v>
      </c>
      <c r="D24" s="145"/>
      <c r="E24" s="145"/>
      <c r="F24" s="145"/>
      <c r="G24" s="145"/>
      <c r="H24" s="145"/>
      <c r="I24" s="145"/>
      <c r="J24" s="145"/>
      <c r="K24" s="145"/>
      <c r="L24" s="168" t="s">
        <v>464</v>
      </c>
      <c r="M24" s="145"/>
      <c r="N24" s="145"/>
      <c r="O24" s="145"/>
      <c r="P24" s="146"/>
      <c r="Q24" s="37"/>
      <c r="R24" s="60" t="s">
        <v>468</v>
      </c>
      <c r="S24" s="61"/>
      <c r="T24" s="61"/>
      <c r="U24" s="61"/>
      <c r="V24" s="61"/>
      <c r="W24" s="61"/>
      <c r="X24" s="61"/>
      <c r="Y24" s="61"/>
      <c r="Z24" s="62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19"/>
      <c r="AP24" s="19"/>
      <c r="AQ24" s="19"/>
      <c r="AR24" s="19"/>
      <c r="HC24" t="s">
        <v>270</v>
      </c>
    </row>
    <row r="25" spans="1:211" ht="17.25" customHeight="1" x14ac:dyDescent="0.3">
      <c r="A25" s="38"/>
      <c r="B25" s="144"/>
      <c r="C25" s="34" t="s">
        <v>181</v>
      </c>
      <c r="D25" s="52"/>
      <c r="E25" s="52" t="str">
        <f>VLOOKUP(C25,Data_lists!B16:C19,2,FALSE)</f>
        <v>USBasp, http://www.fischl.de/usbasp/</v>
      </c>
      <c r="F25" s="52"/>
      <c r="G25" s="52"/>
      <c r="H25" s="52"/>
      <c r="I25" s="52"/>
      <c r="J25" s="52"/>
      <c r="K25" s="53"/>
      <c r="L25" s="34" t="s">
        <v>465</v>
      </c>
      <c r="M25" s="145"/>
      <c r="N25" s="145"/>
      <c r="O25" s="145"/>
      <c r="P25" s="146"/>
      <c r="Q25" s="37"/>
      <c r="R25" s="37"/>
      <c r="S25" s="37"/>
      <c r="T25" s="37"/>
      <c r="U25" s="37"/>
      <c r="V25" s="37"/>
      <c r="W25" s="37"/>
      <c r="X25" s="37"/>
      <c r="Y25" s="37"/>
      <c r="Z25" s="37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19"/>
      <c r="AP25" s="19"/>
      <c r="AQ25" s="19"/>
      <c r="AR25" s="19"/>
    </row>
    <row r="26" spans="1:211" ht="17.25" customHeight="1" x14ac:dyDescent="0.55000000000000004">
      <c r="A26" s="38"/>
      <c r="B26" s="144"/>
      <c r="C26" s="169"/>
      <c r="D26" s="145"/>
      <c r="E26" s="145"/>
      <c r="F26" s="145"/>
      <c r="G26" s="145"/>
      <c r="H26" s="145"/>
      <c r="I26" s="145"/>
      <c r="J26" s="145"/>
      <c r="K26" s="145"/>
      <c r="L26" s="145"/>
      <c r="M26" s="145"/>
      <c r="N26" s="145"/>
      <c r="O26" s="145"/>
      <c r="P26" s="146"/>
      <c r="Q26" s="37"/>
      <c r="R26" s="37"/>
      <c r="S26" s="37"/>
      <c r="T26" s="37"/>
      <c r="U26" s="37"/>
      <c r="V26" s="37"/>
      <c r="W26" s="37"/>
      <c r="X26" s="37"/>
      <c r="Y26" s="37"/>
      <c r="Z26" s="37"/>
      <c r="AA26" s="19"/>
      <c r="AB26" s="19"/>
      <c r="AC26" s="19"/>
      <c r="AD26" s="19"/>
      <c r="AE26" s="19"/>
      <c r="AF26" s="19"/>
      <c r="AG26" s="19"/>
      <c r="AH26" s="19"/>
      <c r="AI26" s="19"/>
      <c r="AJ26" s="19"/>
      <c r="AK26" s="19"/>
      <c r="AL26" s="19"/>
      <c r="AM26" s="19"/>
      <c r="AN26" s="19"/>
      <c r="AO26" s="19"/>
      <c r="AP26" s="19"/>
      <c r="AQ26" s="19"/>
      <c r="AR26" s="19"/>
    </row>
    <row r="27" spans="1:211" ht="27" customHeight="1" x14ac:dyDescent="0.55000000000000004">
      <c r="A27" s="38"/>
      <c r="B27" s="144"/>
      <c r="C27" s="168" t="s">
        <v>188</v>
      </c>
      <c r="D27" s="145"/>
      <c r="E27" s="145"/>
      <c r="F27" s="145"/>
      <c r="G27" s="71" t="s">
        <v>190</v>
      </c>
      <c r="H27" s="72"/>
      <c r="I27" s="179" t="s">
        <v>470</v>
      </c>
      <c r="J27" s="179"/>
      <c r="K27" s="179"/>
      <c r="L27" s="179"/>
      <c r="M27" s="179"/>
      <c r="N27" s="179"/>
      <c r="O27" s="180"/>
      <c r="P27" s="146"/>
      <c r="Q27" s="37"/>
      <c r="R27" s="37"/>
      <c r="S27" s="37"/>
      <c r="T27" s="37"/>
      <c r="U27" s="37"/>
      <c r="V27" s="37"/>
      <c r="W27" s="37"/>
      <c r="X27" s="37"/>
      <c r="Y27" s="37"/>
      <c r="Z27" s="37"/>
      <c r="AA27" s="19"/>
      <c r="AB27" s="19"/>
      <c r="AC27" s="19"/>
      <c r="AD27" s="19"/>
      <c r="AE27" s="19"/>
      <c r="AF27" s="19"/>
      <c r="AG27" s="19"/>
      <c r="AH27" s="19"/>
      <c r="AI27" s="19"/>
      <c r="AJ27" s="19"/>
      <c r="AK27" s="19"/>
      <c r="AL27" s="19"/>
      <c r="AM27" s="19"/>
      <c r="AN27" s="19"/>
      <c r="AO27" s="19"/>
      <c r="AP27" s="19"/>
      <c r="AQ27" s="19"/>
      <c r="AR27" s="19"/>
    </row>
    <row r="28" spans="1:211" x14ac:dyDescent="0.3">
      <c r="A28" s="38"/>
      <c r="B28" s="144"/>
      <c r="C28" s="145"/>
      <c r="D28" s="145"/>
      <c r="E28" s="145"/>
      <c r="F28" s="145"/>
      <c r="G28" s="73"/>
      <c r="H28" s="74"/>
      <c r="I28" s="134"/>
      <c r="J28" s="134"/>
      <c r="K28" s="134"/>
      <c r="L28" s="134"/>
      <c r="M28" s="134"/>
      <c r="N28" s="134"/>
      <c r="O28" s="135"/>
      <c r="P28" s="146"/>
      <c r="Q28" s="37"/>
      <c r="R28" s="37"/>
      <c r="S28" s="37"/>
      <c r="T28" s="37"/>
      <c r="U28" s="37"/>
      <c r="V28" s="37"/>
      <c r="W28" s="37"/>
      <c r="X28" s="37"/>
      <c r="Y28" s="37"/>
      <c r="Z28" s="37"/>
      <c r="AA28" s="19"/>
      <c r="AB28" s="19"/>
      <c r="AC28" s="19"/>
      <c r="AD28" s="19"/>
      <c r="AE28" s="19"/>
      <c r="AF28" s="19"/>
      <c r="AG28" s="19"/>
      <c r="AH28" s="19"/>
      <c r="AI28" s="19"/>
      <c r="AJ28" s="19"/>
      <c r="AK28" s="19"/>
      <c r="AL28" s="19"/>
      <c r="AM28" s="19"/>
      <c r="AN28" s="19"/>
      <c r="AO28" s="19"/>
      <c r="AP28" s="19"/>
      <c r="AQ28" s="19"/>
      <c r="AR28" s="19"/>
    </row>
    <row r="29" spans="1:211" ht="33" customHeight="1" x14ac:dyDescent="0.3">
      <c r="A29" s="38"/>
      <c r="B29" s="144"/>
      <c r="C29" s="145"/>
      <c r="D29" s="145"/>
      <c r="E29" s="145"/>
      <c r="F29" s="145"/>
      <c r="G29" s="73" t="s">
        <v>191</v>
      </c>
      <c r="H29" s="74"/>
      <c r="I29" s="174" t="s">
        <v>473</v>
      </c>
      <c r="J29" s="174"/>
      <c r="K29" s="174"/>
      <c r="L29" s="174"/>
      <c r="M29" s="174"/>
      <c r="N29" s="174"/>
      <c r="O29" s="175"/>
      <c r="P29" s="146"/>
      <c r="Q29" s="37"/>
      <c r="R29" s="37"/>
      <c r="S29" s="37"/>
      <c r="T29" s="37"/>
      <c r="U29" s="37"/>
      <c r="V29" s="37"/>
      <c r="W29" s="37"/>
      <c r="X29" s="37"/>
      <c r="Y29" s="37"/>
      <c r="Z29" s="37"/>
      <c r="AA29" s="19"/>
      <c r="AB29" s="19"/>
      <c r="AC29" s="19"/>
      <c r="AD29" s="19"/>
      <c r="AE29" s="19"/>
      <c r="AF29" s="19"/>
      <c r="AG29" s="19"/>
      <c r="AH29" s="19"/>
      <c r="AI29" s="19"/>
      <c r="AJ29" s="19"/>
      <c r="AK29" s="19"/>
      <c r="AL29" s="19"/>
      <c r="AM29" s="19"/>
      <c r="AN29" s="19"/>
      <c r="AO29" s="19"/>
      <c r="AP29" s="19"/>
      <c r="AQ29" s="19"/>
      <c r="AR29" s="19"/>
    </row>
    <row r="30" spans="1:211" x14ac:dyDescent="0.3">
      <c r="A30" s="38"/>
      <c r="B30" s="144"/>
      <c r="C30" s="145"/>
      <c r="D30" s="145"/>
      <c r="E30" s="145"/>
      <c r="F30" s="145"/>
      <c r="G30" s="75"/>
      <c r="H30" s="76"/>
      <c r="I30" s="136"/>
      <c r="J30" s="136"/>
      <c r="K30" s="136"/>
      <c r="L30" s="136"/>
      <c r="M30" s="136"/>
      <c r="N30" s="136"/>
      <c r="O30" s="137"/>
      <c r="P30" s="146"/>
      <c r="Q30" s="37"/>
      <c r="R30" s="37"/>
      <c r="S30" s="37"/>
      <c r="T30" s="37"/>
      <c r="U30" s="37"/>
      <c r="V30" s="37"/>
      <c r="W30" s="37"/>
      <c r="X30" s="37"/>
      <c r="Y30" s="37"/>
      <c r="Z30" s="37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19"/>
      <c r="AP30" s="19"/>
      <c r="AQ30" s="19"/>
      <c r="AR30" s="19"/>
    </row>
    <row r="31" spans="1:211" ht="28.8" x14ac:dyDescent="0.55000000000000004">
      <c r="A31" s="38"/>
      <c r="B31" s="144"/>
      <c r="C31" s="168" t="s">
        <v>189</v>
      </c>
      <c r="D31" s="145"/>
      <c r="E31" s="145"/>
      <c r="F31" s="145"/>
      <c r="G31" s="145"/>
      <c r="H31" s="145"/>
      <c r="I31" s="145"/>
      <c r="J31" s="145"/>
      <c r="K31" s="145"/>
      <c r="L31" s="145"/>
      <c r="M31" s="145"/>
      <c r="N31" s="145"/>
      <c r="O31" s="145"/>
      <c r="P31" s="146"/>
      <c r="Q31" s="37"/>
      <c r="R31" s="37"/>
      <c r="S31" s="37"/>
      <c r="T31" s="37"/>
      <c r="U31" s="37"/>
      <c r="V31" s="37"/>
      <c r="W31" s="37"/>
      <c r="X31" s="37"/>
      <c r="Y31" s="37"/>
      <c r="Z31" s="37"/>
      <c r="AA31" s="19"/>
      <c r="AB31" s="19"/>
      <c r="AC31" s="19"/>
      <c r="AD31" s="19"/>
      <c r="AE31" s="19"/>
      <c r="AF31" s="19"/>
      <c r="AG31" s="19"/>
      <c r="AH31" s="19"/>
      <c r="AI31" s="19"/>
      <c r="AJ31" s="19"/>
      <c r="AK31" s="19"/>
      <c r="AL31" s="19"/>
      <c r="AM31" s="19"/>
      <c r="AN31" s="19"/>
      <c r="AO31" s="19"/>
      <c r="AP31" s="19"/>
      <c r="AQ31" s="19"/>
      <c r="AR31" s="19"/>
    </row>
    <row r="32" spans="1:211" ht="31.5" customHeight="1" x14ac:dyDescent="0.3">
      <c r="A32" s="38"/>
      <c r="B32" s="144"/>
      <c r="C32" s="182"/>
      <c r="D32" s="179"/>
      <c r="E32" s="179"/>
      <c r="F32" s="179"/>
      <c r="G32" s="179"/>
      <c r="H32" s="179"/>
      <c r="I32" s="179"/>
      <c r="J32" s="179"/>
      <c r="K32" s="179"/>
      <c r="L32" s="179"/>
      <c r="M32" s="179"/>
      <c r="N32" s="179"/>
      <c r="O32" s="180"/>
      <c r="P32" s="146"/>
      <c r="Q32" s="38"/>
      <c r="R32" s="38"/>
      <c r="S32" s="38"/>
      <c r="T32" s="38"/>
      <c r="U32" s="38"/>
      <c r="V32" s="38"/>
      <c r="W32" s="37"/>
      <c r="X32" s="37"/>
      <c r="Y32" s="37"/>
      <c r="Z32" s="37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19"/>
      <c r="AP32" s="19"/>
      <c r="AQ32" s="19"/>
      <c r="AR32" s="19"/>
    </row>
    <row r="33" spans="1:44" ht="31.5" customHeight="1" x14ac:dyDescent="0.3">
      <c r="A33" s="38"/>
      <c r="B33" s="144"/>
      <c r="C33" s="173"/>
      <c r="D33" s="174"/>
      <c r="E33" s="174"/>
      <c r="F33" s="174"/>
      <c r="G33" s="174"/>
      <c r="H33" s="174"/>
      <c r="I33" s="174"/>
      <c r="J33" s="174"/>
      <c r="K33" s="174"/>
      <c r="L33" s="174"/>
      <c r="M33" s="174"/>
      <c r="N33" s="174"/>
      <c r="O33" s="175"/>
      <c r="P33" s="146"/>
      <c r="Q33" s="38"/>
      <c r="R33" s="38"/>
      <c r="S33" s="38"/>
      <c r="T33" s="38"/>
      <c r="U33" s="38"/>
      <c r="V33" s="38"/>
      <c r="W33" s="37"/>
      <c r="X33" s="37"/>
      <c r="Y33" s="37"/>
      <c r="Z33" s="37"/>
      <c r="AA33" s="19"/>
      <c r="AB33" s="19"/>
      <c r="AC33" s="19"/>
      <c r="AD33" s="19"/>
      <c r="AE33" s="19"/>
      <c r="AF33" s="19"/>
      <c r="AG33" s="19"/>
      <c r="AH33" s="19"/>
      <c r="AI33" s="19"/>
      <c r="AJ33" s="19"/>
      <c r="AK33" s="19"/>
      <c r="AL33" s="19"/>
      <c r="AM33" s="19"/>
      <c r="AN33" s="19"/>
      <c r="AO33" s="19"/>
      <c r="AP33" s="19"/>
      <c r="AQ33" s="19"/>
      <c r="AR33" s="19"/>
    </row>
    <row r="34" spans="1:44" ht="31.5" customHeight="1" x14ac:dyDescent="0.3">
      <c r="A34" s="38"/>
      <c r="B34" s="144"/>
      <c r="C34" s="173"/>
      <c r="D34" s="174"/>
      <c r="E34" s="174"/>
      <c r="F34" s="174"/>
      <c r="G34" s="174"/>
      <c r="H34" s="174"/>
      <c r="I34" s="174"/>
      <c r="J34" s="174"/>
      <c r="K34" s="174"/>
      <c r="L34" s="174"/>
      <c r="M34" s="174"/>
      <c r="N34" s="174"/>
      <c r="O34" s="175"/>
      <c r="P34" s="146"/>
      <c r="Q34" s="38"/>
      <c r="R34" s="38"/>
      <c r="S34" s="38"/>
      <c r="T34" s="38"/>
      <c r="U34" s="38"/>
      <c r="V34" s="38"/>
      <c r="W34" s="37"/>
      <c r="X34" s="37"/>
      <c r="Y34" s="37"/>
      <c r="Z34" s="37"/>
      <c r="AA34" s="19"/>
      <c r="AB34" s="19"/>
      <c r="AC34" s="19"/>
      <c r="AD34" s="19"/>
      <c r="AE34" s="19"/>
      <c r="AF34" s="19"/>
      <c r="AG34" s="19"/>
      <c r="AH34" s="19"/>
      <c r="AI34" s="19"/>
      <c r="AJ34" s="19"/>
      <c r="AK34" s="19"/>
      <c r="AL34" s="19"/>
      <c r="AM34" s="19"/>
      <c r="AN34" s="19"/>
      <c r="AO34" s="19"/>
      <c r="AP34" s="19"/>
      <c r="AQ34" s="19"/>
      <c r="AR34" s="19"/>
    </row>
    <row r="35" spans="1:44" ht="31.5" customHeight="1" x14ac:dyDescent="0.3">
      <c r="A35" s="38"/>
      <c r="B35" s="144"/>
      <c r="C35" s="176"/>
      <c r="D35" s="177"/>
      <c r="E35" s="177"/>
      <c r="F35" s="177"/>
      <c r="G35" s="177"/>
      <c r="H35" s="177"/>
      <c r="I35" s="177"/>
      <c r="J35" s="177"/>
      <c r="K35" s="177"/>
      <c r="L35" s="177"/>
      <c r="M35" s="177"/>
      <c r="N35" s="177"/>
      <c r="O35" s="178"/>
      <c r="P35" s="146"/>
      <c r="Q35" s="38"/>
      <c r="R35" s="38"/>
      <c r="S35" s="38"/>
      <c r="T35" s="38"/>
      <c r="U35" s="38"/>
      <c r="V35" s="38"/>
      <c r="W35" s="37"/>
      <c r="X35" s="37"/>
      <c r="Y35" s="37"/>
      <c r="Z35" s="37"/>
      <c r="AA35" s="19"/>
      <c r="AB35" s="19"/>
      <c r="AC35" s="19"/>
      <c r="AD35" s="19"/>
      <c r="AE35" s="19"/>
      <c r="AF35" s="19"/>
      <c r="AG35" s="19"/>
      <c r="AH35" s="19"/>
      <c r="AI35" s="19"/>
      <c r="AJ35" s="19"/>
      <c r="AK35" s="19"/>
      <c r="AL35" s="19"/>
      <c r="AM35" s="19"/>
      <c r="AN35" s="19"/>
      <c r="AO35" s="19"/>
      <c r="AP35" s="19"/>
      <c r="AQ35" s="19"/>
      <c r="AR35" s="19"/>
    </row>
    <row r="36" spans="1:44" x14ac:dyDescent="0.3">
      <c r="A36" s="38"/>
      <c r="B36" s="144"/>
      <c r="C36" s="145"/>
      <c r="D36" s="145"/>
      <c r="E36" s="145"/>
      <c r="F36" s="145"/>
      <c r="G36" s="145"/>
      <c r="H36" s="145"/>
      <c r="I36" s="145"/>
      <c r="J36" s="145"/>
      <c r="K36" s="145"/>
      <c r="L36" s="145"/>
      <c r="M36" s="145"/>
      <c r="N36" s="145"/>
      <c r="O36" s="145"/>
      <c r="P36" s="146"/>
      <c r="Q36" s="38"/>
      <c r="R36" s="38"/>
      <c r="S36" s="38"/>
      <c r="T36" s="38"/>
      <c r="U36" s="38"/>
      <c r="V36" s="38"/>
      <c r="W36" s="37"/>
      <c r="X36" s="37"/>
      <c r="Y36" s="37"/>
      <c r="Z36" s="37"/>
      <c r="AA36" s="19"/>
      <c r="AB36" s="19"/>
      <c r="AC36" s="19"/>
      <c r="AD36" s="19"/>
      <c r="AE36" s="19"/>
      <c r="AF36" s="19"/>
      <c r="AG36" s="19"/>
      <c r="AH36" s="19"/>
      <c r="AI36" s="19"/>
      <c r="AJ36" s="19"/>
      <c r="AK36" s="19"/>
      <c r="AL36" s="19"/>
      <c r="AM36" s="19"/>
      <c r="AN36" s="19"/>
      <c r="AO36" s="19"/>
      <c r="AP36" s="19"/>
      <c r="AQ36" s="19"/>
      <c r="AR36" s="19"/>
    </row>
    <row r="37" spans="1:44" x14ac:dyDescent="0.3">
      <c r="A37" s="38"/>
      <c r="B37" s="144"/>
      <c r="C37" s="145" t="s">
        <v>471</v>
      </c>
      <c r="D37" s="145"/>
      <c r="E37" s="145"/>
      <c r="F37" s="145"/>
      <c r="G37" s="145"/>
      <c r="H37" s="145"/>
      <c r="I37" s="145"/>
      <c r="J37" s="145"/>
      <c r="K37" s="145"/>
      <c r="L37" s="145"/>
      <c r="M37" s="145"/>
      <c r="N37" s="145"/>
      <c r="O37" s="145"/>
      <c r="P37" s="146"/>
      <c r="Q37" s="37"/>
      <c r="R37" s="37"/>
      <c r="S37" s="37"/>
      <c r="T37" s="37"/>
      <c r="U37" s="37"/>
      <c r="V37" s="37"/>
      <c r="W37" s="37"/>
      <c r="X37" s="37"/>
      <c r="Y37" s="37"/>
      <c r="Z37" s="37"/>
      <c r="AA37" s="19"/>
      <c r="AB37" s="19"/>
      <c r="AC37" s="19"/>
      <c r="AD37" s="19"/>
      <c r="AE37" s="19"/>
      <c r="AF37" s="19"/>
      <c r="AG37" s="19"/>
      <c r="AH37" s="19"/>
      <c r="AI37" s="19"/>
      <c r="AJ37" s="19"/>
      <c r="AK37" s="19"/>
      <c r="AL37" s="19"/>
      <c r="AM37" s="19"/>
      <c r="AN37" s="19"/>
      <c r="AO37" s="19"/>
      <c r="AP37" s="19"/>
      <c r="AQ37" s="19"/>
      <c r="AR37" s="19"/>
    </row>
    <row r="38" spans="1:44" ht="15" thickBot="1" x14ac:dyDescent="0.35">
      <c r="A38" s="38"/>
      <c r="B38" s="170"/>
      <c r="C38" s="171"/>
      <c r="D38" s="171"/>
      <c r="E38" s="171"/>
      <c r="F38" s="171"/>
      <c r="G38" s="171"/>
      <c r="H38" s="171"/>
      <c r="I38" s="171"/>
      <c r="J38" s="171"/>
      <c r="K38" s="171"/>
      <c r="L38" s="171"/>
      <c r="M38" s="171"/>
      <c r="N38" s="171"/>
      <c r="O38" s="171"/>
      <c r="P38" s="172"/>
      <c r="Q38" s="37"/>
      <c r="R38" s="37"/>
      <c r="S38" s="37"/>
      <c r="T38" s="37"/>
      <c r="U38" s="37"/>
      <c r="V38" s="37"/>
      <c r="W38" s="37"/>
      <c r="X38" s="37"/>
      <c r="Y38" s="37"/>
      <c r="Z38" s="37"/>
      <c r="AA38" s="19"/>
      <c r="AB38" s="19"/>
      <c r="AC38" s="19"/>
      <c r="AD38" s="19"/>
      <c r="AE38" s="19"/>
      <c r="AF38" s="19"/>
      <c r="AG38" s="19"/>
      <c r="AH38" s="19"/>
      <c r="AI38" s="19"/>
      <c r="AJ38" s="19"/>
      <c r="AK38" s="19"/>
      <c r="AL38" s="19"/>
      <c r="AM38" s="19"/>
      <c r="AN38" s="19"/>
      <c r="AO38" s="19"/>
      <c r="AP38" s="19"/>
      <c r="AQ38" s="19"/>
      <c r="AR38" s="19"/>
    </row>
    <row r="39" spans="1:44" x14ac:dyDescent="0.3">
      <c r="A39" s="38"/>
      <c r="B39" s="37"/>
      <c r="C39" s="37"/>
      <c r="D39" s="37"/>
      <c r="E39" s="37"/>
      <c r="F39" s="37"/>
      <c r="G39" s="37"/>
      <c r="H39" s="37"/>
      <c r="I39" s="37"/>
      <c r="J39" s="37"/>
      <c r="K39" s="37"/>
      <c r="L39" s="37"/>
      <c r="M39" s="37"/>
      <c r="N39" s="37"/>
      <c r="O39" s="37"/>
      <c r="P39" s="37"/>
      <c r="Q39" s="37"/>
      <c r="R39" s="37"/>
      <c r="S39" s="37"/>
      <c r="T39" s="37"/>
      <c r="U39" s="37"/>
      <c r="V39" s="37"/>
      <c r="W39" s="37"/>
      <c r="X39" s="37"/>
      <c r="Y39" s="37"/>
      <c r="Z39" s="37"/>
      <c r="AA39" s="19"/>
      <c r="AB39" s="19"/>
      <c r="AC39" s="19"/>
      <c r="AD39" s="19"/>
      <c r="AE39" s="19"/>
      <c r="AF39" s="19"/>
      <c r="AG39" s="19"/>
      <c r="AH39" s="19"/>
      <c r="AI39" s="19"/>
      <c r="AJ39" s="19"/>
      <c r="AK39" s="19"/>
      <c r="AL39" s="19"/>
      <c r="AM39" s="19"/>
      <c r="AN39" s="19"/>
      <c r="AO39" s="19"/>
      <c r="AP39" s="19"/>
      <c r="AQ39" s="19"/>
      <c r="AR39" s="19"/>
    </row>
    <row r="40" spans="1:44" x14ac:dyDescent="0.3">
      <c r="A40" s="21"/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  <c r="AH40" s="19"/>
      <c r="AI40" s="19"/>
      <c r="AJ40" s="19"/>
      <c r="AK40" s="19"/>
      <c r="AL40" s="19"/>
      <c r="AM40" s="19"/>
      <c r="AN40" s="19"/>
      <c r="AO40" s="19"/>
      <c r="AP40" s="19"/>
      <c r="AQ40" s="19"/>
      <c r="AR40" s="19"/>
    </row>
    <row r="41" spans="1:44" x14ac:dyDescent="0.3">
      <c r="A41" s="21"/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  <c r="AH41" s="19"/>
      <c r="AI41" s="19"/>
      <c r="AJ41" s="19"/>
      <c r="AK41" s="19"/>
      <c r="AL41" s="19"/>
      <c r="AM41" s="19"/>
      <c r="AN41" s="19"/>
      <c r="AO41" s="19"/>
      <c r="AP41" s="19"/>
      <c r="AQ41" s="19"/>
      <c r="AR41" s="19"/>
    </row>
    <row r="42" spans="1:44" x14ac:dyDescent="0.3">
      <c r="A42" s="21"/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  <c r="AH42" s="19"/>
      <c r="AI42" s="19"/>
      <c r="AJ42" s="19"/>
      <c r="AK42" s="19"/>
      <c r="AL42" s="19"/>
      <c r="AM42" s="19"/>
      <c r="AN42" s="19"/>
      <c r="AO42" s="19"/>
      <c r="AP42" s="19"/>
      <c r="AQ42" s="19"/>
      <c r="AR42" s="19"/>
    </row>
    <row r="43" spans="1:44" x14ac:dyDescent="0.3">
      <c r="A43" s="19"/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  <c r="AH43" s="19"/>
      <c r="AI43" s="19"/>
      <c r="AJ43" s="19"/>
      <c r="AK43" s="19"/>
      <c r="AL43" s="19"/>
      <c r="AM43" s="19"/>
      <c r="AN43" s="19"/>
      <c r="AO43" s="19"/>
      <c r="AP43" s="19"/>
      <c r="AQ43" s="19"/>
      <c r="AR43" s="19"/>
    </row>
    <row r="44" spans="1:44" x14ac:dyDescent="0.3">
      <c r="A44" s="19"/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  <c r="AH44" s="19"/>
      <c r="AI44" s="19"/>
      <c r="AJ44" s="19"/>
      <c r="AK44" s="19"/>
      <c r="AL44" s="19"/>
      <c r="AM44" s="19"/>
      <c r="AN44" s="19"/>
      <c r="AO44" s="19"/>
      <c r="AP44" s="19"/>
      <c r="AQ44" s="19"/>
      <c r="AR44" s="19"/>
    </row>
    <row r="45" spans="1:44" x14ac:dyDescent="0.3">
      <c r="A45" s="19"/>
      <c r="B45" s="19"/>
      <c r="C45" s="19"/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s="19"/>
      <c r="AA45" s="19"/>
      <c r="AB45" s="19"/>
      <c r="AC45" s="19"/>
      <c r="AD45" s="19"/>
      <c r="AE45" s="19"/>
      <c r="AF45" s="19"/>
      <c r="AG45" s="19"/>
      <c r="AH45" s="19"/>
      <c r="AI45" s="19"/>
      <c r="AJ45" s="19"/>
      <c r="AK45" s="19"/>
      <c r="AL45" s="19"/>
      <c r="AM45" s="19"/>
      <c r="AN45" s="19"/>
      <c r="AO45" s="19"/>
      <c r="AP45" s="19"/>
      <c r="AQ45" s="19"/>
      <c r="AR45" s="19"/>
    </row>
    <row r="46" spans="1:44" x14ac:dyDescent="0.3">
      <c r="A46" s="19"/>
      <c r="B46" s="19"/>
      <c r="C46" s="19"/>
      <c r="D46" s="19"/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Z46" s="19"/>
      <c r="AA46" s="19"/>
      <c r="AB46" s="19"/>
      <c r="AC46" s="19"/>
      <c r="AD46" s="19"/>
      <c r="AE46" s="19"/>
      <c r="AF46" s="19"/>
      <c r="AG46" s="19"/>
      <c r="AH46" s="19"/>
      <c r="AI46" s="19"/>
      <c r="AJ46" s="19"/>
      <c r="AK46" s="19"/>
      <c r="AL46" s="19"/>
      <c r="AM46" s="19"/>
      <c r="AN46" s="19"/>
      <c r="AO46" s="19"/>
      <c r="AP46" s="19"/>
      <c r="AQ46" s="19"/>
      <c r="AR46" s="19"/>
    </row>
    <row r="47" spans="1:44" x14ac:dyDescent="0.3">
      <c r="A47" s="19"/>
      <c r="B47" s="19"/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19"/>
      <c r="Z47" s="19"/>
      <c r="AA47" s="19"/>
      <c r="AB47" s="19"/>
      <c r="AC47" s="19"/>
      <c r="AD47" s="19"/>
      <c r="AE47" s="19"/>
      <c r="AF47" s="19"/>
      <c r="AG47" s="19"/>
      <c r="AH47" s="19"/>
      <c r="AI47" s="19"/>
      <c r="AJ47" s="19"/>
      <c r="AK47" s="19"/>
      <c r="AL47" s="19"/>
      <c r="AM47" s="19"/>
      <c r="AN47" s="19"/>
      <c r="AO47" s="19"/>
      <c r="AP47" s="19"/>
      <c r="AQ47" s="19"/>
      <c r="AR47" s="19"/>
    </row>
    <row r="48" spans="1:44" x14ac:dyDescent="0.3">
      <c r="A48" s="19"/>
      <c r="B48" s="19"/>
      <c r="C48" s="19"/>
      <c r="D48" s="19"/>
      <c r="E48" s="19"/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19"/>
      <c r="Q48" s="19"/>
      <c r="R48" s="19"/>
      <c r="S48" s="19"/>
      <c r="T48" s="19"/>
      <c r="U48" s="19"/>
      <c r="V48" s="19"/>
      <c r="W48" s="19"/>
      <c r="X48" s="19"/>
      <c r="Y48" s="19"/>
      <c r="Z48" s="19"/>
      <c r="AA48" s="19"/>
      <c r="AB48" s="19"/>
      <c r="AC48" s="19"/>
      <c r="AD48" s="19"/>
      <c r="AE48" s="19"/>
      <c r="AF48" s="19"/>
      <c r="AG48" s="19"/>
      <c r="AH48" s="19"/>
      <c r="AI48" s="19"/>
      <c r="AJ48" s="19"/>
      <c r="AK48" s="19"/>
      <c r="AL48" s="19"/>
      <c r="AM48" s="19"/>
      <c r="AN48" s="19"/>
      <c r="AO48" s="19"/>
      <c r="AP48" s="19"/>
      <c r="AQ48" s="19"/>
      <c r="AR48" s="19"/>
    </row>
    <row r="49" spans="1:44" x14ac:dyDescent="0.3">
      <c r="A49" s="19"/>
      <c r="B49" s="19"/>
      <c r="C49" s="19"/>
      <c r="D49" s="19"/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  <c r="Z49" s="19"/>
      <c r="AA49" s="19"/>
      <c r="AB49" s="19"/>
      <c r="AC49" s="19"/>
      <c r="AD49" s="19"/>
      <c r="AE49" s="19"/>
      <c r="AF49" s="19"/>
      <c r="AG49" s="19"/>
      <c r="AH49" s="19"/>
      <c r="AI49" s="19"/>
      <c r="AJ49" s="19"/>
      <c r="AK49" s="19"/>
      <c r="AL49" s="19"/>
      <c r="AM49" s="19"/>
      <c r="AN49" s="19"/>
      <c r="AO49" s="19"/>
      <c r="AP49" s="19"/>
      <c r="AQ49" s="19"/>
      <c r="AR49" s="19"/>
    </row>
    <row r="50" spans="1:44" x14ac:dyDescent="0.3">
      <c r="A50" s="19"/>
      <c r="B50" s="19"/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  <c r="Z50" s="19"/>
      <c r="AA50" s="19"/>
      <c r="AB50" s="19"/>
      <c r="AC50" s="19"/>
      <c r="AD50" s="19"/>
      <c r="AE50" s="19"/>
      <c r="AF50" s="19"/>
      <c r="AG50" s="19"/>
      <c r="AH50" s="19"/>
      <c r="AI50" s="19"/>
      <c r="AJ50" s="19"/>
      <c r="AK50" s="19"/>
      <c r="AL50" s="19"/>
      <c r="AM50" s="19"/>
      <c r="AN50" s="19"/>
      <c r="AO50" s="19"/>
      <c r="AP50" s="19"/>
      <c r="AQ50" s="19"/>
      <c r="AR50" s="19"/>
    </row>
    <row r="51" spans="1:44" x14ac:dyDescent="0.3">
      <c r="A51" s="19"/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9"/>
      <c r="AA51" s="19"/>
      <c r="AB51" s="19"/>
      <c r="AC51" s="19"/>
      <c r="AD51" s="19"/>
      <c r="AE51" s="19"/>
      <c r="AF51" s="19"/>
      <c r="AG51" s="19"/>
      <c r="AH51" s="19"/>
      <c r="AI51" s="19"/>
      <c r="AJ51" s="19"/>
      <c r="AK51" s="19"/>
      <c r="AL51" s="19"/>
      <c r="AM51" s="19"/>
      <c r="AN51" s="19"/>
      <c r="AO51" s="19"/>
      <c r="AP51" s="19"/>
      <c r="AQ51" s="19"/>
      <c r="AR51" s="19"/>
    </row>
    <row r="52" spans="1:44" x14ac:dyDescent="0.3">
      <c r="A52" s="19"/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9"/>
      <c r="AA52" s="19"/>
      <c r="AB52" s="19"/>
      <c r="AC52" s="19"/>
      <c r="AD52" s="19"/>
      <c r="AE52" s="19"/>
      <c r="AF52" s="19"/>
      <c r="AG52" s="19"/>
      <c r="AH52" s="19"/>
      <c r="AI52" s="19"/>
      <c r="AJ52" s="19"/>
      <c r="AK52" s="19"/>
      <c r="AL52" s="19"/>
      <c r="AM52" s="19"/>
      <c r="AN52" s="19"/>
      <c r="AO52" s="19"/>
      <c r="AP52" s="19"/>
      <c r="AQ52" s="19"/>
      <c r="AR52" s="19"/>
    </row>
    <row r="53" spans="1:44" x14ac:dyDescent="0.3">
      <c r="A53" s="19"/>
      <c r="B53" s="19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Z53" s="19"/>
      <c r="AA53" s="19"/>
      <c r="AB53" s="19"/>
      <c r="AC53" s="19"/>
      <c r="AD53" s="19"/>
      <c r="AE53" s="19"/>
      <c r="AF53" s="19"/>
      <c r="AG53" s="19"/>
      <c r="AH53" s="19"/>
      <c r="AI53" s="19"/>
      <c r="AJ53" s="19"/>
      <c r="AK53" s="19"/>
      <c r="AL53" s="19"/>
      <c r="AM53" s="19"/>
      <c r="AN53" s="19"/>
      <c r="AO53" s="19"/>
      <c r="AP53" s="19"/>
      <c r="AQ53" s="19"/>
      <c r="AR53" s="19"/>
    </row>
    <row r="54" spans="1:44" x14ac:dyDescent="0.3">
      <c r="A54" s="19"/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9"/>
      <c r="AA54" s="19"/>
      <c r="AB54" s="19"/>
      <c r="AC54" s="19"/>
      <c r="AD54" s="19"/>
      <c r="AE54" s="19"/>
      <c r="AF54" s="19"/>
      <c r="AG54" s="19"/>
      <c r="AH54" s="19"/>
      <c r="AI54" s="19"/>
      <c r="AJ54" s="19"/>
      <c r="AK54" s="19"/>
      <c r="AL54" s="19"/>
      <c r="AM54" s="19"/>
      <c r="AN54" s="19"/>
      <c r="AO54" s="19"/>
      <c r="AP54" s="19"/>
      <c r="AQ54" s="19"/>
      <c r="AR54" s="19"/>
    </row>
    <row r="55" spans="1:44" x14ac:dyDescent="0.3">
      <c r="A55" s="19"/>
      <c r="B55" s="19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Z55" s="19"/>
      <c r="AA55" s="19"/>
      <c r="AB55" s="19"/>
      <c r="AC55" s="19"/>
      <c r="AD55" s="19"/>
      <c r="AE55" s="19"/>
      <c r="AF55" s="19"/>
      <c r="AG55" s="19"/>
      <c r="AH55" s="19"/>
      <c r="AI55" s="19"/>
      <c r="AJ55" s="19"/>
      <c r="AK55" s="19"/>
      <c r="AL55" s="19"/>
      <c r="AM55" s="19"/>
      <c r="AN55" s="19"/>
      <c r="AO55" s="19"/>
      <c r="AP55" s="19"/>
      <c r="AQ55" s="19"/>
      <c r="AR55" s="19"/>
    </row>
    <row r="56" spans="1:44" x14ac:dyDescent="0.3">
      <c r="A56" s="19"/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9"/>
      <c r="AA56" s="19"/>
      <c r="AB56" s="19"/>
      <c r="AC56" s="19"/>
      <c r="AD56" s="19"/>
      <c r="AE56" s="19"/>
      <c r="AF56" s="19"/>
      <c r="AG56" s="19"/>
      <c r="AH56" s="19"/>
      <c r="AI56" s="19"/>
      <c r="AJ56" s="19"/>
      <c r="AK56" s="19"/>
      <c r="AL56" s="19"/>
      <c r="AM56" s="19"/>
      <c r="AN56" s="19"/>
      <c r="AO56" s="19"/>
      <c r="AP56" s="19"/>
      <c r="AQ56" s="19"/>
      <c r="AR56" s="19"/>
    </row>
    <row r="57" spans="1:44" x14ac:dyDescent="0.3">
      <c r="A57" s="19"/>
      <c r="B57" s="19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  <c r="P57" s="19"/>
      <c r="Q57" s="19"/>
      <c r="R57" s="19"/>
      <c r="S57" s="19"/>
      <c r="T57" s="19"/>
      <c r="U57" s="19"/>
      <c r="V57" s="19"/>
      <c r="W57" s="19"/>
      <c r="X57" s="19"/>
      <c r="Y57" s="19"/>
      <c r="Z57" s="19"/>
      <c r="AA57" s="19"/>
      <c r="AB57" s="19"/>
      <c r="AC57" s="19"/>
      <c r="AD57" s="19"/>
      <c r="AE57" s="19"/>
      <c r="AF57" s="19"/>
      <c r="AG57" s="19"/>
      <c r="AH57" s="19"/>
      <c r="AI57" s="19"/>
      <c r="AJ57" s="19"/>
      <c r="AK57" s="19"/>
      <c r="AL57" s="19"/>
      <c r="AM57" s="19"/>
      <c r="AN57" s="19"/>
      <c r="AO57" s="19"/>
      <c r="AP57" s="19"/>
      <c r="AQ57" s="19"/>
      <c r="AR57" s="19"/>
    </row>
    <row r="58" spans="1:44" x14ac:dyDescent="0.3">
      <c r="A58" s="19"/>
      <c r="B58" s="19"/>
      <c r="C58" s="19"/>
      <c r="D58" s="19"/>
      <c r="E58" s="19"/>
      <c r="F58" s="19"/>
      <c r="G58" s="19"/>
      <c r="H58" s="19"/>
      <c r="I58" s="19"/>
      <c r="J58" s="19"/>
      <c r="K58" s="19"/>
      <c r="L58" s="19"/>
      <c r="M58" s="19"/>
      <c r="N58" s="19"/>
      <c r="O58" s="19"/>
      <c r="P58" s="19"/>
      <c r="Q58" s="19"/>
      <c r="R58" s="19"/>
      <c r="S58" s="19"/>
      <c r="T58" s="19"/>
      <c r="U58" s="19"/>
      <c r="V58" s="19"/>
      <c r="W58" s="19"/>
      <c r="X58" s="19"/>
      <c r="Y58" s="19"/>
      <c r="Z58" s="19"/>
      <c r="AA58" s="19"/>
      <c r="AB58" s="19"/>
      <c r="AC58" s="19"/>
      <c r="AD58" s="19"/>
      <c r="AE58" s="19"/>
      <c r="AF58" s="19"/>
      <c r="AG58" s="19"/>
      <c r="AH58" s="19"/>
      <c r="AI58" s="19"/>
      <c r="AJ58" s="19"/>
      <c r="AK58" s="19"/>
      <c r="AL58" s="19"/>
      <c r="AM58" s="19"/>
      <c r="AN58" s="19"/>
      <c r="AO58" s="19"/>
      <c r="AP58" s="19"/>
      <c r="AQ58" s="19"/>
      <c r="AR58" s="19"/>
    </row>
    <row r="59" spans="1:44" x14ac:dyDescent="0.3">
      <c r="A59" s="19"/>
      <c r="B59" s="19"/>
      <c r="C59" s="19"/>
      <c r="D59" s="19"/>
      <c r="E59" s="19"/>
      <c r="F59" s="19"/>
      <c r="G59" s="19"/>
      <c r="H59" s="19"/>
      <c r="I59" s="19"/>
      <c r="J59" s="19"/>
      <c r="K59" s="19"/>
      <c r="L59" s="19"/>
      <c r="M59" s="19"/>
      <c r="N59" s="19"/>
      <c r="O59" s="19"/>
      <c r="P59" s="19"/>
      <c r="Q59" s="19"/>
      <c r="R59" s="19"/>
      <c r="S59" s="19"/>
      <c r="T59" s="19"/>
      <c r="U59" s="19"/>
      <c r="V59" s="19"/>
      <c r="W59" s="19"/>
      <c r="X59" s="19"/>
      <c r="Y59" s="19"/>
      <c r="Z59" s="19"/>
      <c r="AA59" s="19"/>
      <c r="AB59" s="19"/>
      <c r="AC59" s="19"/>
      <c r="AD59" s="19"/>
      <c r="AE59" s="19"/>
      <c r="AF59" s="19"/>
      <c r="AG59" s="19"/>
      <c r="AH59" s="19"/>
      <c r="AI59" s="19"/>
      <c r="AJ59" s="19"/>
      <c r="AK59" s="19"/>
      <c r="AL59" s="19"/>
      <c r="AM59" s="19"/>
      <c r="AN59" s="19"/>
      <c r="AO59" s="19"/>
      <c r="AP59" s="19"/>
      <c r="AQ59" s="19"/>
      <c r="AR59" s="19"/>
    </row>
    <row r="60" spans="1:44" x14ac:dyDescent="0.3">
      <c r="A60" s="19"/>
      <c r="B60" s="19"/>
      <c r="C60" s="19"/>
      <c r="D60" s="19"/>
      <c r="E60" s="19"/>
      <c r="F60" s="19"/>
      <c r="G60" s="19"/>
      <c r="H60" s="19"/>
      <c r="I60" s="19"/>
      <c r="J60" s="19"/>
      <c r="K60" s="19"/>
      <c r="L60" s="19"/>
      <c r="M60" s="19"/>
      <c r="N60" s="19"/>
      <c r="O60" s="19"/>
      <c r="P60" s="19"/>
      <c r="Q60" s="19"/>
      <c r="R60" s="19"/>
      <c r="S60" s="19"/>
      <c r="T60" s="19"/>
      <c r="U60" s="19"/>
      <c r="V60" s="19"/>
      <c r="W60" s="19"/>
      <c r="X60" s="19"/>
      <c r="Y60" s="19"/>
      <c r="Z60" s="19"/>
      <c r="AA60" s="19"/>
      <c r="AB60" s="19"/>
      <c r="AC60" s="19"/>
      <c r="AD60" s="19"/>
      <c r="AE60" s="19"/>
      <c r="AF60" s="19"/>
      <c r="AG60" s="19"/>
      <c r="AH60" s="19"/>
      <c r="AI60" s="19"/>
      <c r="AJ60" s="19"/>
      <c r="AK60" s="19"/>
      <c r="AL60" s="19"/>
      <c r="AM60" s="19"/>
      <c r="AN60" s="19"/>
      <c r="AO60" s="19"/>
      <c r="AP60" s="19"/>
      <c r="AQ60" s="19"/>
      <c r="AR60" s="19"/>
    </row>
  </sheetData>
  <mergeCells count="9">
    <mergeCell ref="C34:O34"/>
    <mergeCell ref="C35:O35"/>
    <mergeCell ref="I27:O27"/>
    <mergeCell ref="I29:O29"/>
    <mergeCell ref="C13:E13"/>
    <mergeCell ref="G13:I13"/>
    <mergeCell ref="L13:N13"/>
    <mergeCell ref="C32:O32"/>
    <mergeCell ref="C33:O33"/>
  </mergeCells>
  <pageMargins left="0.25" right="0.25" top="0.75" bottom="0.75" header="0.3" footer="0.3"/>
  <pageSetup paperSize="9" scale="65" orientation="portrait" r:id="rId1"/>
  <ignoredErrors>
    <ignoredError sqref="E25" unlockedFormula="1"/>
  </ignoredErrors>
  <drawing r:id="rId2"/>
  <legacyDrawing r:id="rId3"/>
  <controls>
    <mc:AlternateContent xmlns:mc="http://schemas.openxmlformats.org/markup-compatibility/2006">
      <mc:Choice Requires="x14">
        <control shapeId="1036" r:id="rId4" name="CommandButton7">
          <controlPr autoLine="0" r:id="rId5">
            <anchor moveWithCells="1">
              <from>
                <xdr:col>11</xdr:col>
                <xdr:colOff>144780</xdr:colOff>
                <xdr:row>18</xdr:row>
                <xdr:rowOff>60960</xdr:rowOff>
              </from>
              <to>
                <xdr:col>13</xdr:col>
                <xdr:colOff>411480</xdr:colOff>
                <xdr:row>20</xdr:row>
                <xdr:rowOff>83820</xdr:rowOff>
              </to>
            </anchor>
          </controlPr>
        </control>
      </mc:Choice>
      <mc:Fallback>
        <control shapeId="1036" r:id="rId4" name="CommandButton7"/>
      </mc:Fallback>
    </mc:AlternateContent>
    <mc:AlternateContent xmlns:mc="http://schemas.openxmlformats.org/markup-compatibility/2006">
      <mc:Choice Requires="x14">
        <control shapeId="1035" r:id="rId6" name="CommandButton4">
          <controlPr autoLine="0" r:id="rId7">
            <anchor moveWithCells="1">
              <from>
                <xdr:col>11</xdr:col>
                <xdr:colOff>152400</xdr:colOff>
                <xdr:row>16</xdr:row>
                <xdr:rowOff>60960</xdr:rowOff>
              </from>
              <to>
                <xdr:col>13</xdr:col>
                <xdr:colOff>419100</xdr:colOff>
                <xdr:row>17</xdr:row>
                <xdr:rowOff>121920</xdr:rowOff>
              </to>
            </anchor>
          </controlPr>
        </control>
      </mc:Choice>
      <mc:Fallback>
        <control shapeId="1035" r:id="rId6" name="CommandButton4"/>
      </mc:Fallback>
    </mc:AlternateContent>
    <mc:AlternateContent xmlns:mc="http://schemas.openxmlformats.org/markup-compatibility/2006">
      <mc:Choice Requires="x14">
        <control shapeId="1034" r:id="rId8" name="CommandButton6">
          <controlPr autoLine="0" r:id="rId9">
            <anchor moveWithCells="1">
              <from>
                <xdr:col>6</xdr:col>
                <xdr:colOff>160020</xdr:colOff>
                <xdr:row>16</xdr:row>
                <xdr:rowOff>30480</xdr:rowOff>
              </from>
              <to>
                <xdr:col>8</xdr:col>
                <xdr:colOff>464820</xdr:colOff>
                <xdr:row>17</xdr:row>
                <xdr:rowOff>114300</xdr:rowOff>
              </to>
            </anchor>
          </controlPr>
        </control>
      </mc:Choice>
      <mc:Fallback>
        <control shapeId="1034" r:id="rId8" name="CommandButton6"/>
      </mc:Fallback>
    </mc:AlternateContent>
    <mc:AlternateContent xmlns:mc="http://schemas.openxmlformats.org/markup-compatibility/2006">
      <mc:Choice Requires="x14">
        <control shapeId="1032" r:id="rId10" name="CommandButton5">
          <controlPr autoLine="0" r:id="rId11">
            <anchor moveWithCells="1">
              <from>
                <xdr:col>6</xdr:col>
                <xdr:colOff>175260</xdr:colOff>
                <xdr:row>18</xdr:row>
                <xdr:rowOff>22860</xdr:rowOff>
              </from>
              <to>
                <xdr:col>8</xdr:col>
                <xdr:colOff>480060</xdr:colOff>
                <xdr:row>20</xdr:row>
                <xdr:rowOff>106680</xdr:rowOff>
              </to>
            </anchor>
          </controlPr>
        </control>
      </mc:Choice>
      <mc:Fallback>
        <control shapeId="1032" r:id="rId10" name="CommandButton5"/>
      </mc:Fallback>
    </mc:AlternateContent>
    <mc:AlternateContent xmlns:mc="http://schemas.openxmlformats.org/markup-compatibility/2006">
      <mc:Choice Requires="x14">
        <control shapeId="1029" r:id="rId12" name="CommandButton3">
          <controlPr autoLine="0" r:id="rId13">
            <anchor moveWithCells="1">
              <from>
                <xdr:col>2</xdr:col>
                <xdr:colOff>7620</xdr:colOff>
                <xdr:row>27</xdr:row>
                <xdr:rowOff>0</xdr:rowOff>
              </from>
              <to>
                <xdr:col>4</xdr:col>
                <xdr:colOff>586740</xdr:colOff>
                <xdr:row>28</xdr:row>
                <xdr:rowOff>251460</xdr:rowOff>
              </to>
            </anchor>
          </controlPr>
        </control>
      </mc:Choice>
      <mc:Fallback>
        <control shapeId="1029" r:id="rId12" name="CommandButton3"/>
      </mc:Fallback>
    </mc:AlternateContent>
    <mc:AlternateContent xmlns:mc="http://schemas.openxmlformats.org/markup-compatibility/2006">
      <mc:Choice Requires="x14">
        <control shapeId="1028" r:id="rId14" name="CommandButton1">
          <controlPr autoLine="0" r:id="rId15">
            <anchor moveWithCells="1">
              <from>
                <xdr:col>2</xdr:col>
                <xdr:colOff>106680</xdr:colOff>
                <xdr:row>16</xdr:row>
                <xdr:rowOff>38100</xdr:rowOff>
              </from>
              <to>
                <xdr:col>4</xdr:col>
                <xdr:colOff>518160</xdr:colOff>
                <xdr:row>17</xdr:row>
                <xdr:rowOff>121920</xdr:rowOff>
              </to>
            </anchor>
          </controlPr>
        </control>
      </mc:Choice>
      <mc:Fallback>
        <control shapeId="1028" r:id="rId14" name="CommandButton1"/>
      </mc:Fallback>
    </mc:AlternateContent>
    <mc:AlternateContent xmlns:mc="http://schemas.openxmlformats.org/markup-compatibility/2006">
      <mc:Choice Requires="x14">
        <control shapeId="1027" r:id="rId16" name="CommandButton2">
          <controlPr autoLine="0" r:id="rId17">
            <anchor moveWithCells="1">
              <from>
                <xdr:col>2</xdr:col>
                <xdr:colOff>106680</xdr:colOff>
                <xdr:row>18</xdr:row>
                <xdr:rowOff>68580</xdr:rowOff>
              </from>
              <to>
                <xdr:col>4</xdr:col>
                <xdr:colOff>495300</xdr:colOff>
                <xdr:row>20</xdr:row>
                <xdr:rowOff>91440</xdr:rowOff>
              </to>
            </anchor>
          </controlPr>
        </control>
      </mc:Choice>
      <mc:Fallback>
        <control shapeId="1027" r:id="rId16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0000000}">
          <x14:formula1>
            <xm:f>Data_lists!$B$16:$B$18</xm:f>
          </x14:formula1>
          <xm:sqref>C25</xm:sqref>
        </x14:dataValidation>
        <x14:dataValidation type="list" allowBlank="1" showInputMessage="1" showErrorMessage="1" xr:uid="{00000000-0002-0000-0000-000001000000}">
          <x14:formula1>
            <xm:f>Data_lists!$R$2:$R$18</xm:f>
          </x14:formula1>
          <xm:sqref>L25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Q282"/>
  <sheetViews>
    <sheetView zoomScaleNormal="100" workbookViewId="0">
      <selection activeCell="D5" sqref="D5"/>
    </sheetView>
  </sheetViews>
  <sheetFormatPr defaultColWidth="9.109375" defaultRowHeight="14.4" outlineLevelRow="1" x14ac:dyDescent="0.3"/>
  <cols>
    <col min="1" max="1" width="4" style="115" customWidth="1"/>
    <col min="2" max="2" width="5.88671875" style="132" customWidth="1"/>
    <col min="3" max="3" width="33.5546875" style="132" customWidth="1"/>
    <col min="4" max="11" width="11.6640625" style="133" customWidth="1"/>
    <col min="12" max="12" width="10.6640625" style="132" customWidth="1"/>
    <col min="13" max="13" width="9.109375" style="115"/>
    <col min="14" max="28" width="9.109375" style="1"/>
    <col min="29" max="16384" width="9.109375" style="2"/>
  </cols>
  <sheetData>
    <row r="1" spans="2:12" x14ac:dyDescent="0.3">
      <c r="B1" s="115"/>
      <c r="C1" s="115"/>
      <c r="D1" s="116"/>
      <c r="E1" s="116"/>
      <c r="F1" s="116"/>
      <c r="G1" s="116"/>
      <c r="H1" s="116"/>
      <c r="I1" s="116"/>
      <c r="J1" s="116"/>
      <c r="K1" s="116"/>
      <c r="L1" s="115"/>
    </row>
    <row r="2" spans="2:12" ht="31.2" x14ac:dyDescent="0.6">
      <c r="B2" s="117"/>
      <c r="C2" s="118" t="s">
        <v>192</v>
      </c>
      <c r="D2" s="119"/>
      <c r="E2" s="119"/>
      <c r="F2" s="119"/>
      <c r="G2" s="119"/>
      <c r="H2" s="119"/>
      <c r="I2" s="119"/>
      <c r="J2" s="120" t="s">
        <v>472</v>
      </c>
      <c r="K2" s="119"/>
      <c r="L2" s="120"/>
    </row>
    <row r="3" spans="2:12" outlineLevel="1" x14ac:dyDescent="0.3">
      <c r="B3" s="37"/>
      <c r="C3" s="37"/>
      <c r="D3" s="121"/>
      <c r="E3" s="121"/>
      <c r="F3" s="121"/>
      <c r="G3" s="121"/>
      <c r="H3" s="121"/>
      <c r="I3" s="121"/>
      <c r="J3" s="121"/>
      <c r="K3" s="121"/>
      <c r="L3" s="37"/>
    </row>
    <row r="4" spans="2:12" ht="6.75" customHeight="1" outlineLevel="1" x14ac:dyDescent="0.3">
      <c r="B4" s="37"/>
      <c r="C4" s="37"/>
      <c r="D4" s="121"/>
      <c r="E4" s="121"/>
      <c r="F4" s="121"/>
      <c r="G4" s="121"/>
      <c r="H4" s="121"/>
      <c r="I4" s="121"/>
      <c r="J4" s="121"/>
      <c r="K4" s="121"/>
      <c r="L4" s="37"/>
    </row>
    <row r="5" spans="2:12" ht="18" outlineLevel="1" x14ac:dyDescent="0.35">
      <c r="B5" s="37"/>
      <c r="C5" s="35" t="s">
        <v>78</v>
      </c>
      <c r="D5" s="36" t="s">
        <v>325</v>
      </c>
      <c r="E5" s="121"/>
      <c r="F5" s="122" t="s">
        <v>52</v>
      </c>
      <c r="G5" s="121"/>
      <c r="H5" s="121"/>
      <c r="I5" s="121"/>
      <c r="J5" s="121"/>
      <c r="K5" s="121"/>
      <c r="L5" s="37"/>
    </row>
    <row r="6" spans="2:12" outlineLevel="1" x14ac:dyDescent="0.3">
      <c r="B6" s="37"/>
      <c r="C6" s="35" t="s">
        <v>391</v>
      </c>
      <c r="D6" s="36" t="s">
        <v>356</v>
      </c>
      <c r="E6" s="121"/>
      <c r="F6" s="121"/>
      <c r="G6" s="121"/>
      <c r="H6" s="121"/>
      <c r="I6" s="121"/>
      <c r="J6" s="121"/>
      <c r="K6" s="121"/>
      <c r="L6" s="37"/>
    </row>
    <row r="7" spans="2:12" ht="15" customHeight="1" outlineLevel="1" x14ac:dyDescent="0.35">
      <c r="B7" s="37"/>
      <c r="C7" s="35" t="s">
        <v>193</v>
      </c>
      <c r="D7" s="36">
        <v>36</v>
      </c>
      <c r="E7" s="121"/>
      <c r="F7" s="122" t="s">
        <v>381</v>
      </c>
      <c r="G7" s="121"/>
      <c r="H7" s="121"/>
      <c r="I7" s="121"/>
      <c r="J7" s="121"/>
      <c r="K7" s="121"/>
      <c r="L7" s="37"/>
    </row>
    <row r="8" spans="2:12" outlineLevel="1" x14ac:dyDescent="0.3">
      <c r="B8" s="37"/>
      <c r="C8" s="35" t="s">
        <v>394</v>
      </c>
      <c r="D8" s="36" t="s">
        <v>350</v>
      </c>
      <c r="E8" s="121"/>
      <c r="F8" s="121"/>
      <c r="G8" s="121"/>
      <c r="H8" s="121"/>
      <c r="I8" s="121"/>
      <c r="J8" s="121"/>
      <c r="K8" s="121"/>
      <c r="L8" s="37"/>
    </row>
    <row r="9" spans="2:12" outlineLevel="1" x14ac:dyDescent="0.3">
      <c r="B9" s="37"/>
      <c r="C9" s="35" t="s">
        <v>413</v>
      </c>
      <c r="D9" s="36">
        <v>30</v>
      </c>
      <c r="E9" s="121"/>
      <c r="F9" s="121"/>
      <c r="G9" s="121"/>
      <c r="H9" s="121"/>
      <c r="I9" s="121"/>
      <c r="J9" s="121"/>
      <c r="K9" s="121"/>
      <c r="L9" s="37"/>
    </row>
    <row r="10" spans="2:12" outlineLevel="1" x14ac:dyDescent="0.3">
      <c r="B10" s="37"/>
      <c r="C10" s="35" t="s">
        <v>195</v>
      </c>
      <c r="D10" s="36" t="s">
        <v>29</v>
      </c>
      <c r="E10" s="121"/>
      <c r="F10" s="121"/>
      <c r="G10" s="121"/>
      <c r="H10" s="121"/>
      <c r="I10" s="121"/>
      <c r="J10" s="121"/>
      <c r="K10" s="121"/>
      <c r="L10" s="37"/>
    </row>
    <row r="11" spans="2:12" outlineLevel="1" x14ac:dyDescent="0.3">
      <c r="B11" s="37"/>
      <c r="C11" s="35" t="s">
        <v>395</v>
      </c>
      <c r="D11" s="36" t="s">
        <v>215</v>
      </c>
      <c r="E11" s="121"/>
      <c r="F11" s="121"/>
      <c r="G11" s="121"/>
      <c r="H11" s="121"/>
      <c r="I11" s="121"/>
      <c r="J11" s="121"/>
      <c r="K11" s="121"/>
      <c r="L11" s="37"/>
    </row>
    <row r="12" spans="2:12" outlineLevel="1" x14ac:dyDescent="0.3">
      <c r="B12" s="37"/>
      <c r="C12" s="35" t="s">
        <v>196</v>
      </c>
      <c r="D12" s="36" t="s">
        <v>214</v>
      </c>
      <c r="E12" s="121"/>
      <c r="F12" s="121"/>
      <c r="G12" s="121"/>
      <c r="H12" s="121"/>
      <c r="I12" s="121"/>
      <c r="J12" s="121"/>
      <c r="K12" s="121"/>
      <c r="L12" s="37"/>
    </row>
    <row r="13" spans="2:12" outlineLevel="1" x14ac:dyDescent="0.3">
      <c r="B13" s="37"/>
      <c r="C13" s="35" t="s">
        <v>197</v>
      </c>
      <c r="D13" s="36" t="s">
        <v>234</v>
      </c>
      <c r="E13" s="121"/>
      <c r="F13" s="121"/>
      <c r="G13" s="121"/>
      <c r="H13" s="121"/>
      <c r="I13" s="121"/>
      <c r="J13" s="121"/>
      <c r="K13" s="121"/>
      <c r="L13" s="37"/>
    </row>
    <row r="14" spans="2:12" outlineLevel="1" x14ac:dyDescent="0.3">
      <c r="B14" s="37"/>
      <c r="C14" s="35" t="s">
        <v>199</v>
      </c>
      <c r="D14" s="36">
        <v>6</v>
      </c>
      <c r="E14" s="121"/>
      <c r="F14" s="121"/>
      <c r="G14" s="121"/>
      <c r="H14" s="121"/>
      <c r="I14" s="121"/>
      <c r="J14" s="121"/>
      <c r="K14" s="121"/>
      <c r="L14" s="37"/>
    </row>
    <row r="15" spans="2:12" outlineLevel="1" x14ac:dyDescent="0.3">
      <c r="B15" s="37"/>
      <c r="C15" s="35" t="s">
        <v>87</v>
      </c>
      <c r="D15" s="36" t="s">
        <v>352</v>
      </c>
      <c r="E15" s="121"/>
      <c r="F15" s="123" t="s">
        <v>291</v>
      </c>
      <c r="G15" s="121"/>
      <c r="H15" s="121"/>
      <c r="I15" s="121"/>
      <c r="J15" s="121"/>
      <c r="K15" s="121"/>
      <c r="L15" s="37"/>
    </row>
    <row r="16" spans="2:12" outlineLevel="1" x14ac:dyDescent="0.3">
      <c r="B16" s="37"/>
      <c r="C16" s="35" t="s">
        <v>386</v>
      </c>
      <c r="D16" s="36" t="s">
        <v>30</v>
      </c>
      <c r="E16" s="121"/>
      <c r="F16" s="123"/>
      <c r="G16" s="121"/>
      <c r="H16" s="121"/>
      <c r="I16" s="121"/>
      <c r="J16" s="121"/>
      <c r="K16" s="121"/>
      <c r="L16" s="37"/>
    </row>
    <row r="17" spans="1:43" outlineLevel="1" x14ac:dyDescent="0.3">
      <c r="B17" s="37"/>
      <c r="C17" s="37"/>
      <c r="D17" s="121"/>
      <c r="E17" s="121"/>
      <c r="F17" s="121"/>
      <c r="G17" s="121"/>
      <c r="H17" s="121"/>
      <c r="I17" s="121"/>
      <c r="J17" s="121"/>
      <c r="K17" s="121"/>
      <c r="L17" s="37"/>
    </row>
    <row r="18" spans="1:43" s="1" customFormat="1" x14ac:dyDescent="0.3">
      <c r="A18" s="115"/>
      <c r="B18" s="115"/>
      <c r="C18" s="115"/>
      <c r="D18" s="116"/>
      <c r="E18" s="116"/>
      <c r="F18" s="116"/>
      <c r="G18" s="116"/>
      <c r="H18" s="116"/>
      <c r="I18" s="116"/>
      <c r="J18" s="116"/>
      <c r="K18" s="116"/>
      <c r="L18" s="115"/>
      <c r="M18" s="115"/>
    </row>
    <row r="19" spans="1:43" ht="31.2" x14ac:dyDescent="0.6">
      <c r="B19" s="120"/>
      <c r="C19" s="118" t="s">
        <v>179</v>
      </c>
      <c r="D19" s="124"/>
      <c r="E19" s="124"/>
      <c r="F19" s="124"/>
      <c r="G19" s="124"/>
      <c r="H19" s="124"/>
      <c r="I19" s="124"/>
      <c r="J19" s="124"/>
      <c r="K19" s="124"/>
      <c r="L19" s="120"/>
    </row>
    <row r="20" spans="1:43" ht="19.5" customHeight="1" outlineLevel="1" x14ac:dyDescent="0.85">
      <c r="B20" s="37"/>
      <c r="C20" s="125"/>
      <c r="D20" s="121"/>
      <c r="E20" s="121"/>
      <c r="F20" s="121"/>
      <c r="G20" s="121"/>
      <c r="H20" s="121"/>
      <c r="I20" s="121"/>
      <c r="J20" s="121"/>
      <c r="K20" s="121"/>
      <c r="L20" s="37"/>
      <c r="AQ20" s="2" t="s">
        <v>27</v>
      </c>
    </row>
    <row r="21" spans="1:43" ht="4.5" customHeight="1" outlineLevel="1" x14ac:dyDescent="0.3">
      <c r="B21" s="37"/>
      <c r="C21" s="37"/>
      <c r="D21" s="121"/>
      <c r="E21" s="121"/>
      <c r="F21" s="121"/>
      <c r="G21" s="121"/>
      <c r="H21" s="121"/>
      <c r="I21" s="121"/>
      <c r="J21" s="121"/>
      <c r="K21" s="121"/>
      <c r="L21" s="37"/>
    </row>
    <row r="22" spans="1:43" ht="18" outlineLevel="1" x14ac:dyDescent="0.35">
      <c r="B22" s="37"/>
      <c r="C22" s="35" t="s">
        <v>9</v>
      </c>
      <c r="D22" s="36" t="s">
        <v>463</v>
      </c>
      <c r="E22" s="121"/>
      <c r="F22" s="122" t="s">
        <v>52</v>
      </c>
      <c r="G22" s="121"/>
      <c r="H22" s="121"/>
      <c r="I22" s="121"/>
      <c r="J22" s="121"/>
      <c r="K22" s="121"/>
      <c r="L22" s="37"/>
    </row>
    <row r="23" spans="1:43" outlineLevel="1" x14ac:dyDescent="0.3">
      <c r="B23" s="37"/>
      <c r="C23" s="35" t="s">
        <v>400</v>
      </c>
      <c r="D23" s="36" t="s">
        <v>402</v>
      </c>
      <c r="E23" s="121"/>
      <c r="F23" s="121"/>
      <c r="G23" s="121"/>
      <c r="H23" s="121"/>
      <c r="I23" s="121"/>
      <c r="J23" s="121"/>
      <c r="K23" s="121"/>
      <c r="L23" s="37"/>
    </row>
    <row r="24" spans="1:43" outlineLevel="1" x14ac:dyDescent="0.3">
      <c r="B24" s="37"/>
      <c r="C24" s="35" t="s">
        <v>11</v>
      </c>
      <c r="D24" s="36" t="s">
        <v>20</v>
      </c>
      <c r="E24" s="121"/>
      <c r="F24" s="121"/>
      <c r="G24" s="121"/>
      <c r="H24" s="121"/>
      <c r="I24" s="121"/>
      <c r="J24" s="121"/>
      <c r="K24" s="121"/>
      <c r="L24" s="37"/>
    </row>
    <row r="25" spans="1:43" outlineLevel="1" x14ac:dyDescent="0.3">
      <c r="B25" s="37"/>
      <c r="C25" s="35" t="s">
        <v>408</v>
      </c>
      <c r="D25" s="36" t="s">
        <v>404</v>
      </c>
      <c r="E25" s="126"/>
      <c r="F25" s="126"/>
      <c r="G25" s="126"/>
      <c r="H25" s="126"/>
      <c r="I25" s="126"/>
      <c r="J25" s="126"/>
      <c r="K25" s="126"/>
      <c r="L25" s="37"/>
    </row>
    <row r="26" spans="1:43" outlineLevel="1" x14ac:dyDescent="0.3">
      <c r="B26" s="37"/>
      <c r="C26" s="35" t="s">
        <v>12</v>
      </c>
      <c r="D26" s="36" t="s">
        <v>20</v>
      </c>
      <c r="E26" s="121"/>
      <c r="F26" s="121"/>
      <c r="G26" s="121"/>
      <c r="H26" s="121"/>
      <c r="I26" s="121"/>
      <c r="J26" s="121"/>
      <c r="K26" s="121"/>
      <c r="L26" s="37"/>
    </row>
    <row r="27" spans="1:43" outlineLevel="1" x14ac:dyDescent="0.3">
      <c r="B27" s="37"/>
      <c r="C27" s="35" t="s">
        <v>414</v>
      </c>
      <c r="D27" s="36">
        <v>0</v>
      </c>
      <c r="E27" s="121"/>
      <c r="F27" s="121"/>
      <c r="G27" s="121"/>
      <c r="H27" s="121"/>
      <c r="I27" s="121"/>
      <c r="J27" s="121"/>
      <c r="K27" s="121"/>
      <c r="L27" s="37"/>
    </row>
    <row r="28" spans="1:43" outlineLevel="1" x14ac:dyDescent="0.3">
      <c r="B28" s="37"/>
      <c r="C28" s="35" t="s">
        <v>415</v>
      </c>
      <c r="D28" s="36">
        <v>0</v>
      </c>
      <c r="E28" s="121"/>
      <c r="F28" s="121"/>
      <c r="G28" s="121"/>
      <c r="H28" s="121"/>
      <c r="I28" s="121"/>
      <c r="J28" s="121"/>
      <c r="K28" s="121"/>
      <c r="L28" s="37"/>
    </row>
    <row r="29" spans="1:43" outlineLevel="1" x14ac:dyDescent="0.3">
      <c r="B29" s="37"/>
      <c r="C29" s="35" t="s">
        <v>409</v>
      </c>
      <c r="D29" s="36">
        <v>0</v>
      </c>
      <c r="E29" s="121"/>
      <c r="F29" s="121"/>
      <c r="G29" s="121"/>
      <c r="H29" s="121"/>
      <c r="I29" s="121"/>
      <c r="J29" s="121"/>
      <c r="K29" s="121"/>
      <c r="L29" s="37"/>
    </row>
    <row r="30" spans="1:43" outlineLevel="1" x14ac:dyDescent="0.3">
      <c r="B30" s="37"/>
      <c r="C30" s="35" t="s">
        <v>410</v>
      </c>
      <c r="D30" s="36">
        <v>50</v>
      </c>
      <c r="E30" s="121"/>
      <c r="F30" s="121"/>
      <c r="G30" s="121"/>
      <c r="H30" s="121"/>
      <c r="I30" s="121"/>
      <c r="J30" s="121"/>
      <c r="K30" s="121"/>
      <c r="L30" s="37"/>
    </row>
    <row r="31" spans="1:43" outlineLevel="1" x14ac:dyDescent="0.3">
      <c r="B31" s="37"/>
      <c r="C31" s="35" t="s">
        <v>411</v>
      </c>
      <c r="D31" s="36">
        <v>100</v>
      </c>
      <c r="E31" s="121"/>
      <c r="F31" s="121"/>
      <c r="G31" s="121"/>
      <c r="H31" s="121"/>
      <c r="I31" s="121"/>
      <c r="J31" s="121"/>
      <c r="K31" s="121"/>
      <c r="L31" s="37"/>
    </row>
    <row r="32" spans="1:43" outlineLevel="1" x14ac:dyDescent="0.3">
      <c r="B32" s="37"/>
      <c r="C32" s="35" t="s">
        <v>13</v>
      </c>
      <c r="D32" s="36" t="s">
        <v>29</v>
      </c>
      <c r="E32" s="121"/>
      <c r="F32" s="121"/>
      <c r="G32" s="121"/>
      <c r="H32" s="121"/>
      <c r="I32" s="121"/>
      <c r="J32" s="121"/>
      <c r="K32" s="121"/>
      <c r="L32" s="37"/>
    </row>
    <row r="33" spans="1:13" outlineLevel="1" x14ac:dyDescent="0.3">
      <c r="B33" s="37"/>
      <c r="C33" s="35" t="s">
        <v>412</v>
      </c>
      <c r="D33" s="36">
        <v>20</v>
      </c>
      <c r="E33" s="121"/>
      <c r="F33" s="121"/>
      <c r="G33" s="121"/>
      <c r="H33" s="121"/>
      <c r="I33" s="121"/>
      <c r="J33" s="121"/>
      <c r="K33" s="121"/>
      <c r="L33" s="37"/>
    </row>
    <row r="34" spans="1:13" outlineLevel="1" x14ac:dyDescent="0.3">
      <c r="B34" s="37"/>
      <c r="C34" s="37"/>
      <c r="D34" s="121"/>
      <c r="E34" s="121"/>
      <c r="F34" s="121"/>
      <c r="G34" s="121"/>
      <c r="H34" s="121"/>
      <c r="I34" s="121"/>
      <c r="J34" s="121"/>
      <c r="K34" s="121"/>
      <c r="L34" s="37"/>
    </row>
    <row r="35" spans="1:13" outlineLevel="1" x14ac:dyDescent="0.3">
      <c r="B35" s="38"/>
      <c r="C35" s="38"/>
      <c r="D35" s="22"/>
      <c r="E35" s="22"/>
      <c r="F35" s="22"/>
      <c r="G35" s="22"/>
      <c r="H35" s="22"/>
      <c r="I35" s="22"/>
      <c r="J35" s="22"/>
      <c r="K35" s="22"/>
      <c r="L35" s="38"/>
    </row>
    <row r="36" spans="1:13" outlineLevel="1" x14ac:dyDescent="0.3">
      <c r="B36" s="37"/>
      <c r="C36" s="35" t="s">
        <v>51</v>
      </c>
      <c r="D36" s="36" t="s">
        <v>16</v>
      </c>
      <c r="E36" s="36" t="s">
        <v>17</v>
      </c>
      <c r="F36" s="36" t="s">
        <v>18</v>
      </c>
      <c r="G36" s="36" t="s">
        <v>19</v>
      </c>
      <c r="H36" s="36" t="s">
        <v>20</v>
      </c>
      <c r="I36" s="36" t="s">
        <v>21</v>
      </c>
      <c r="J36" s="36" t="s">
        <v>22</v>
      </c>
      <c r="K36" s="36" t="s">
        <v>23</v>
      </c>
      <c r="L36" s="37"/>
    </row>
    <row r="37" spans="1:13" outlineLevel="1" x14ac:dyDescent="0.3">
      <c r="B37" s="37"/>
      <c r="C37" s="37"/>
      <c r="D37" s="121"/>
      <c r="E37" s="121"/>
      <c r="F37" s="121"/>
      <c r="G37" s="121"/>
      <c r="H37" s="121"/>
      <c r="I37" s="121"/>
      <c r="J37" s="121"/>
      <c r="K37" s="121"/>
      <c r="L37" s="37"/>
    </row>
    <row r="38" spans="1:13" outlineLevel="1" x14ac:dyDescent="0.3">
      <c r="B38" s="37"/>
      <c r="C38" s="37"/>
      <c r="D38" s="121"/>
      <c r="E38" s="121"/>
      <c r="F38" s="121"/>
      <c r="G38" s="121"/>
      <c r="H38" s="121"/>
      <c r="I38" s="121"/>
      <c r="J38" s="121"/>
      <c r="K38" s="121"/>
      <c r="L38" s="37"/>
    </row>
    <row r="39" spans="1:13" s="1" customFormat="1" x14ac:dyDescent="0.3">
      <c r="A39" s="115"/>
      <c r="B39" s="115"/>
      <c r="C39" s="115"/>
      <c r="D39" s="116"/>
      <c r="E39" s="116"/>
      <c r="F39" s="116"/>
      <c r="G39" s="116"/>
      <c r="H39" s="116"/>
      <c r="I39" s="116"/>
      <c r="J39" s="116"/>
      <c r="K39" s="116"/>
      <c r="L39" s="115"/>
      <c r="M39" s="115"/>
    </row>
    <row r="40" spans="1:13" s="1" customFormat="1" ht="31.2" x14ac:dyDescent="0.6">
      <c r="A40" s="115"/>
      <c r="B40" s="120"/>
      <c r="C40" s="118" t="s">
        <v>219</v>
      </c>
      <c r="D40" s="124"/>
      <c r="E40" s="124"/>
      <c r="F40" s="124"/>
      <c r="G40" s="124"/>
      <c r="H40" s="124"/>
      <c r="I40" s="124"/>
      <c r="J40" s="124"/>
      <c r="K40" s="124"/>
      <c r="L40" s="120"/>
      <c r="M40" s="115"/>
    </row>
    <row r="41" spans="1:13" s="1" customFormat="1" ht="29.25" customHeight="1" outlineLevel="1" x14ac:dyDescent="0.85">
      <c r="A41" s="115"/>
      <c r="B41" s="37"/>
      <c r="C41" s="125"/>
      <c r="D41" s="121"/>
      <c r="E41" s="121"/>
      <c r="F41" s="121"/>
      <c r="G41" s="121"/>
      <c r="H41" s="121"/>
      <c r="I41" s="121"/>
      <c r="J41" s="121"/>
      <c r="K41" s="121"/>
      <c r="L41" s="37"/>
      <c r="M41" s="115"/>
    </row>
    <row r="42" spans="1:13" s="1" customFormat="1" ht="21.75" customHeight="1" outlineLevel="1" x14ac:dyDescent="0.45">
      <c r="A42" s="115"/>
      <c r="B42" s="37"/>
      <c r="C42" s="39" t="s">
        <v>221</v>
      </c>
      <c r="D42" s="40" t="s">
        <v>38</v>
      </c>
      <c r="E42" s="40" t="s">
        <v>40</v>
      </c>
      <c r="F42" s="121"/>
      <c r="G42" s="122"/>
      <c r="H42" s="121"/>
      <c r="I42" s="121"/>
      <c r="J42" s="121"/>
      <c r="K42" s="121"/>
      <c r="L42" s="37"/>
      <c r="M42" s="115"/>
    </row>
    <row r="43" spans="1:13" s="1" customFormat="1" ht="18" outlineLevel="1" x14ac:dyDescent="0.35">
      <c r="A43" s="115"/>
      <c r="B43" s="37"/>
      <c r="C43" s="35" t="s">
        <v>416</v>
      </c>
      <c r="D43" s="36">
        <v>40</v>
      </c>
      <c r="E43" s="36">
        <v>40</v>
      </c>
      <c r="F43" s="122"/>
      <c r="G43" s="121"/>
      <c r="H43" s="121"/>
      <c r="I43" s="121"/>
      <c r="J43" s="121"/>
      <c r="K43" s="121"/>
      <c r="L43" s="37"/>
      <c r="M43" s="115"/>
    </row>
    <row r="44" spans="1:13" s="1" customFormat="1" outlineLevel="1" x14ac:dyDescent="0.3">
      <c r="A44" s="115"/>
      <c r="B44" s="37"/>
      <c r="C44" s="35" t="s">
        <v>417</v>
      </c>
      <c r="D44" s="36">
        <v>10</v>
      </c>
      <c r="E44" s="36">
        <v>19</v>
      </c>
      <c r="F44" s="121"/>
      <c r="G44" s="121"/>
      <c r="H44" s="121"/>
      <c r="I44" s="121"/>
      <c r="J44" s="121"/>
      <c r="K44" s="121"/>
      <c r="L44" s="37"/>
      <c r="M44" s="115"/>
    </row>
    <row r="45" spans="1:13" s="1" customFormat="1" outlineLevel="1" x14ac:dyDescent="0.3">
      <c r="A45" s="115"/>
      <c r="B45" s="37"/>
      <c r="C45" s="35" t="s">
        <v>418</v>
      </c>
      <c r="D45" s="36">
        <v>10</v>
      </c>
      <c r="E45" s="36">
        <v>14</v>
      </c>
      <c r="F45" s="121"/>
      <c r="G45" s="121"/>
      <c r="H45" s="121"/>
      <c r="I45" s="121"/>
      <c r="J45" s="121"/>
      <c r="K45" s="121"/>
      <c r="L45" s="37"/>
      <c r="M45" s="115"/>
    </row>
    <row r="46" spans="1:13" s="1" customFormat="1" outlineLevel="1" x14ac:dyDescent="0.3">
      <c r="A46" s="115"/>
      <c r="B46" s="37"/>
      <c r="C46" s="35" t="s">
        <v>419</v>
      </c>
      <c r="D46" s="36">
        <v>2</v>
      </c>
      <c r="E46" s="36">
        <v>3</v>
      </c>
      <c r="F46" s="121"/>
      <c r="G46" s="121"/>
      <c r="H46" s="121"/>
      <c r="I46" s="121"/>
      <c r="J46" s="121"/>
      <c r="K46" s="121"/>
      <c r="L46" s="37"/>
      <c r="M46" s="115"/>
    </row>
    <row r="47" spans="1:13" s="1" customFormat="1" outlineLevel="1" x14ac:dyDescent="0.3">
      <c r="A47" s="115"/>
      <c r="B47" s="37"/>
      <c r="C47" s="35" t="s">
        <v>435</v>
      </c>
      <c r="D47" s="36">
        <v>10</v>
      </c>
      <c r="E47" s="36">
        <v>1</v>
      </c>
      <c r="F47" s="121"/>
      <c r="G47" s="121"/>
      <c r="H47" s="121"/>
      <c r="I47" s="121"/>
      <c r="J47" s="121"/>
      <c r="K47" s="121"/>
      <c r="L47" s="37"/>
      <c r="M47" s="115"/>
    </row>
    <row r="48" spans="1:13" s="1" customFormat="1" outlineLevel="1" x14ac:dyDescent="0.3">
      <c r="A48" s="115"/>
      <c r="B48" s="37"/>
      <c r="C48" s="35" t="s">
        <v>420</v>
      </c>
      <c r="D48" s="36">
        <v>0</v>
      </c>
      <c r="E48" s="36">
        <v>0</v>
      </c>
      <c r="F48" s="121"/>
      <c r="G48" s="121"/>
      <c r="H48" s="121"/>
      <c r="I48" s="121"/>
      <c r="J48" s="121"/>
      <c r="K48" s="121"/>
      <c r="L48" s="37"/>
      <c r="M48" s="115"/>
    </row>
    <row r="49" spans="1:13" s="1" customFormat="1" outlineLevel="1" x14ac:dyDescent="0.3">
      <c r="A49" s="115"/>
      <c r="B49" s="37"/>
      <c r="C49" s="35" t="s">
        <v>421</v>
      </c>
      <c r="D49" s="36">
        <v>40</v>
      </c>
      <c r="E49" s="36">
        <v>40</v>
      </c>
      <c r="F49" s="121"/>
      <c r="G49" s="121"/>
      <c r="H49" s="121"/>
      <c r="I49" s="121"/>
      <c r="J49" s="121"/>
      <c r="K49" s="121"/>
      <c r="L49" s="37"/>
      <c r="M49" s="115"/>
    </row>
    <row r="50" spans="1:13" s="1" customFormat="1" outlineLevel="1" x14ac:dyDescent="0.3">
      <c r="A50" s="115"/>
      <c r="B50" s="37"/>
      <c r="C50" s="35" t="s">
        <v>422</v>
      </c>
      <c r="D50" s="36">
        <v>10</v>
      </c>
      <c r="E50" s="36">
        <v>19</v>
      </c>
      <c r="F50" s="121"/>
      <c r="G50" s="121"/>
      <c r="H50" s="121"/>
      <c r="I50" s="121"/>
      <c r="J50" s="121"/>
      <c r="K50" s="121"/>
      <c r="L50" s="37"/>
      <c r="M50" s="115"/>
    </row>
    <row r="51" spans="1:13" s="1" customFormat="1" outlineLevel="1" x14ac:dyDescent="0.3">
      <c r="A51" s="115"/>
      <c r="B51" s="37"/>
      <c r="C51" s="35" t="s">
        <v>423</v>
      </c>
      <c r="D51" s="36">
        <v>10</v>
      </c>
      <c r="E51" s="36">
        <v>14</v>
      </c>
      <c r="F51" s="121"/>
      <c r="G51" s="121"/>
      <c r="H51" s="121"/>
      <c r="I51" s="121"/>
      <c r="J51" s="121"/>
      <c r="K51" s="121"/>
      <c r="L51" s="37"/>
      <c r="M51" s="115"/>
    </row>
    <row r="52" spans="1:13" s="1" customFormat="1" outlineLevel="1" x14ac:dyDescent="0.3">
      <c r="A52" s="115"/>
      <c r="B52" s="37"/>
      <c r="C52" s="35" t="s">
        <v>424</v>
      </c>
      <c r="D52" s="36">
        <v>2</v>
      </c>
      <c r="E52" s="36">
        <v>3</v>
      </c>
      <c r="F52" s="121"/>
      <c r="G52" s="121"/>
      <c r="H52" s="121"/>
      <c r="I52" s="121"/>
      <c r="J52" s="121"/>
      <c r="K52" s="121"/>
      <c r="L52" s="37"/>
      <c r="M52" s="115"/>
    </row>
    <row r="53" spans="1:13" s="1" customFormat="1" outlineLevel="1" x14ac:dyDescent="0.3">
      <c r="A53" s="115"/>
      <c r="B53" s="37"/>
      <c r="C53" s="35" t="s">
        <v>436</v>
      </c>
      <c r="D53" s="36">
        <v>10</v>
      </c>
      <c r="E53" s="36">
        <v>1</v>
      </c>
      <c r="F53" s="121"/>
      <c r="G53" s="121"/>
      <c r="H53" s="121"/>
      <c r="I53" s="121"/>
      <c r="J53" s="121"/>
      <c r="K53" s="121"/>
      <c r="L53" s="37"/>
      <c r="M53" s="115"/>
    </row>
    <row r="54" spans="1:13" s="1" customFormat="1" outlineLevel="1" x14ac:dyDescent="0.3">
      <c r="A54" s="115"/>
      <c r="B54" s="37"/>
      <c r="C54" s="35" t="s">
        <v>220</v>
      </c>
      <c r="D54" s="36">
        <v>0</v>
      </c>
      <c r="E54" s="36">
        <v>0</v>
      </c>
      <c r="F54" s="121"/>
      <c r="G54" s="121"/>
      <c r="H54" s="121"/>
      <c r="I54" s="121"/>
      <c r="J54" s="121"/>
      <c r="K54" s="121"/>
      <c r="L54" s="37"/>
      <c r="M54" s="115"/>
    </row>
    <row r="55" spans="1:13" s="1" customFormat="1" outlineLevel="1" x14ac:dyDescent="0.3">
      <c r="A55" s="115"/>
      <c r="B55" s="37"/>
      <c r="C55" s="35" t="s">
        <v>425</v>
      </c>
      <c r="D55" s="36">
        <v>60</v>
      </c>
      <c r="E55" s="36">
        <v>60</v>
      </c>
      <c r="F55" s="121"/>
      <c r="G55" s="121"/>
      <c r="H55" s="121"/>
      <c r="I55" s="121"/>
      <c r="J55" s="121"/>
      <c r="K55" s="121"/>
      <c r="L55" s="37"/>
      <c r="M55" s="115"/>
    </row>
    <row r="56" spans="1:13" s="1" customFormat="1" outlineLevel="1" x14ac:dyDescent="0.3">
      <c r="A56" s="115"/>
      <c r="B56" s="37"/>
      <c r="C56" s="35" t="s">
        <v>426</v>
      </c>
      <c r="D56" s="36">
        <v>40</v>
      </c>
      <c r="E56" s="36">
        <v>40</v>
      </c>
      <c r="F56" s="121"/>
      <c r="G56" s="121"/>
      <c r="H56" s="121"/>
      <c r="I56" s="121"/>
      <c r="J56" s="121"/>
      <c r="K56" s="121"/>
      <c r="L56" s="37"/>
      <c r="M56" s="115"/>
    </row>
    <row r="57" spans="1:13" s="1" customFormat="1" outlineLevel="1" x14ac:dyDescent="0.3">
      <c r="A57" s="115"/>
      <c r="B57" s="37"/>
      <c r="C57" s="35" t="s">
        <v>427</v>
      </c>
      <c r="D57" s="36">
        <v>25</v>
      </c>
      <c r="E57" s="36">
        <v>25</v>
      </c>
      <c r="F57" s="121"/>
      <c r="G57" s="121"/>
      <c r="H57" s="121"/>
      <c r="I57" s="121"/>
      <c r="J57" s="121"/>
      <c r="K57" s="121"/>
      <c r="L57" s="37"/>
      <c r="M57" s="115"/>
    </row>
    <row r="58" spans="1:13" s="1" customFormat="1" outlineLevel="1" x14ac:dyDescent="0.3">
      <c r="A58" s="115"/>
      <c r="B58" s="37"/>
      <c r="C58" s="35" t="s">
        <v>428</v>
      </c>
      <c r="D58" s="36">
        <v>2</v>
      </c>
      <c r="E58" s="36">
        <v>2</v>
      </c>
      <c r="F58" s="121"/>
      <c r="G58" s="121"/>
      <c r="H58" s="121"/>
      <c r="I58" s="121"/>
      <c r="J58" s="121"/>
      <c r="K58" s="121"/>
      <c r="L58" s="37"/>
      <c r="M58" s="115"/>
    </row>
    <row r="59" spans="1:13" s="1" customFormat="1" outlineLevel="1" x14ac:dyDescent="0.3">
      <c r="A59" s="115"/>
      <c r="B59" s="37"/>
      <c r="C59" s="35" t="s">
        <v>429</v>
      </c>
      <c r="D59" s="36">
        <v>0</v>
      </c>
      <c r="E59" s="36">
        <v>0</v>
      </c>
      <c r="F59" s="121"/>
      <c r="G59" s="121"/>
      <c r="H59" s="121"/>
      <c r="I59" s="121"/>
      <c r="J59" s="121"/>
      <c r="K59" s="121"/>
      <c r="L59" s="37"/>
      <c r="M59" s="115"/>
    </row>
    <row r="60" spans="1:13" s="1" customFormat="1" outlineLevel="1" x14ac:dyDescent="0.3">
      <c r="A60" s="115"/>
      <c r="B60" s="37"/>
      <c r="C60" s="35" t="s">
        <v>430</v>
      </c>
      <c r="D60" s="36">
        <v>40</v>
      </c>
      <c r="E60" s="36">
        <v>0</v>
      </c>
      <c r="F60" s="121"/>
      <c r="G60" s="121"/>
      <c r="H60" s="121"/>
      <c r="I60" s="121"/>
      <c r="J60" s="121"/>
      <c r="K60" s="121"/>
      <c r="L60" s="37"/>
      <c r="M60" s="115"/>
    </row>
    <row r="61" spans="1:13" s="1" customFormat="1" outlineLevel="1" x14ac:dyDescent="0.3">
      <c r="A61" s="115"/>
      <c r="B61" s="37"/>
      <c r="C61" s="35" t="s">
        <v>431</v>
      </c>
      <c r="D61" s="36">
        <v>20</v>
      </c>
      <c r="E61" s="36">
        <v>0</v>
      </c>
      <c r="F61" s="121"/>
      <c r="G61" s="121"/>
      <c r="H61" s="121"/>
      <c r="I61" s="121"/>
      <c r="J61" s="121"/>
      <c r="K61" s="121"/>
      <c r="L61" s="37"/>
      <c r="M61" s="115"/>
    </row>
    <row r="62" spans="1:13" s="1" customFormat="1" outlineLevel="1" x14ac:dyDescent="0.3">
      <c r="A62" s="115"/>
      <c r="B62" s="37"/>
      <c r="C62" s="35" t="s">
        <v>432</v>
      </c>
      <c r="D62" s="36">
        <v>10</v>
      </c>
      <c r="E62" s="36">
        <v>0</v>
      </c>
      <c r="F62" s="121"/>
      <c r="G62" s="121"/>
      <c r="H62" s="121"/>
      <c r="I62" s="121"/>
      <c r="J62" s="121"/>
      <c r="K62" s="121"/>
      <c r="L62" s="37"/>
      <c r="M62" s="115"/>
    </row>
    <row r="63" spans="1:13" s="1" customFormat="1" outlineLevel="1" x14ac:dyDescent="0.3">
      <c r="A63" s="115"/>
      <c r="B63" s="37"/>
      <c r="C63" s="37"/>
      <c r="D63" s="121"/>
      <c r="E63" s="121"/>
      <c r="F63" s="121"/>
      <c r="G63" s="121"/>
      <c r="H63" s="121"/>
      <c r="I63" s="121"/>
      <c r="J63" s="121"/>
      <c r="K63" s="121"/>
      <c r="L63" s="37"/>
      <c r="M63" s="115"/>
    </row>
    <row r="64" spans="1:13" s="1" customFormat="1" x14ac:dyDescent="0.3">
      <c r="A64" s="115"/>
      <c r="B64" s="115"/>
      <c r="C64" s="115"/>
      <c r="D64" s="116"/>
      <c r="E64" s="116"/>
      <c r="F64" s="116"/>
      <c r="G64" s="116"/>
      <c r="H64" s="116"/>
      <c r="I64" s="116"/>
      <c r="J64" s="116"/>
      <c r="K64" s="116"/>
      <c r="L64" s="115"/>
      <c r="M64" s="115"/>
    </row>
    <row r="65" spans="1:15" s="1" customFormat="1" ht="31.2" x14ac:dyDescent="0.6">
      <c r="A65" s="115"/>
      <c r="B65" s="120"/>
      <c r="C65" s="118" t="s">
        <v>222</v>
      </c>
      <c r="D65" s="124"/>
      <c r="E65" s="124"/>
      <c r="F65" s="124"/>
      <c r="G65" s="124"/>
      <c r="H65" s="124"/>
      <c r="I65" s="124"/>
      <c r="J65" s="124"/>
      <c r="K65" s="124"/>
      <c r="L65" s="120"/>
      <c r="M65" s="115"/>
    </row>
    <row r="66" spans="1:15" s="1" customFormat="1" ht="29.25" customHeight="1" outlineLevel="1" x14ac:dyDescent="0.85">
      <c r="A66" s="115"/>
      <c r="B66" s="37"/>
      <c r="C66" s="125"/>
      <c r="D66" s="121"/>
      <c r="E66" s="121"/>
      <c r="F66" s="121"/>
      <c r="G66" s="121"/>
      <c r="H66" s="121"/>
      <c r="I66" s="121"/>
      <c r="J66" s="121"/>
      <c r="K66" s="121"/>
      <c r="L66" s="37"/>
      <c r="M66" s="115"/>
    </row>
    <row r="67" spans="1:15" s="1" customFormat="1" ht="29.25" customHeight="1" outlineLevel="1" x14ac:dyDescent="0.5">
      <c r="A67" s="115"/>
      <c r="B67" s="37"/>
      <c r="C67" s="127" t="s">
        <v>223</v>
      </c>
      <c r="D67" s="121"/>
      <c r="E67" s="121"/>
      <c r="F67" s="121"/>
      <c r="G67" s="121"/>
      <c r="H67" s="121"/>
      <c r="I67" s="121"/>
      <c r="J67" s="121"/>
      <c r="K67" s="121"/>
      <c r="L67" s="37"/>
      <c r="M67" s="115"/>
    </row>
    <row r="68" spans="1:15" ht="18" outlineLevel="1" x14ac:dyDescent="0.35">
      <c r="B68" s="37"/>
      <c r="C68" s="37"/>
      <c r="D68" s="128"/>
      <c r="E68" s="128"/>
      <c r="F68" s="41" t="s">
        <v>229</v>
      </c>
      <c r="G68" s="41" t="s">
        <v>230</v>
      </c>
      <c r="H68" s="37"/>
      <c r="I68" s="129" t="s">
        <v>231</v>
      </c>
      <c r="J68" s="129"/>
      <c r="K68" s="129"/>
      <c r="L68" s="37"/>
    </row>
    <row r="69" spans="1:15" ht="16.5" customHeight="1" outlineLevel="1" x14ac:dyDescent="0.35">
      <c r="B69" s="37"/>
      <c r="C69" s="37"/>
      <c r="D69" s="49"/>
      <c r="E69" s="49"/>
      <c r="F69" s="42">
        <v>0</v>
      </c>
      <c r="G69" s="36">
        <v>0</v>
      </c>
      <c r="H69" s="37"/>
      <c r="I69" s="129" t="s">
        <v>232</v>
      </c>
      <c r="J69" s="129"/>
      <c r="K69" s="129"/>
      <c r="L69" s="37"/>
    </row>
    <row r="70" spans="1:15" outlineLevel="1" x14ac:dyDescent="0.3">
      <c r="B70" s="37"/>
      <c r="C70" s="37"/>
      <c r="D70" s="49"/>
      <c r="E70" s="49"/>
      <c r="F70" s="42">
        <v>16.666666666666668</v>
      </c>
      <c r="G70" s="36">
        <v>17</v>
      </c>
      <c r="H70" s="37"/>
      <c r="I70" s="37"/>
      <c r="J70" s="37"/>
      <c r="K70" s="37"/>
      <c r="L70" s="37"/>
    </row>
    <row r="71" spans="1:15" outlineLevel="1" x14ac:dyDescent="0.3">
      <c r="B71" s="37"/>
      <c r="C71" s="37"/>
      <c r="D71" s="49"/>
      <c r="E71" s="49"/>
      <c r="F71" s="42">
        <v>33.333333333333336</v>
      </c>
      <c r="G71" s="36">
        <v>33</v>
      </c>
      <c r="H71" s="37"/>
      <c r="I71" s="37"/>
      <c r="J71" s="37"/>
      <c r="K71" s="37"/>
      <c r="L71" s="37"/>
    </row>
    <row r="72" spans="1:15" outlineLevel="1" x14ac:dyDescent="0.3">
      <c r="B72" s="37"/>
      <c r="C72" s="37"/>
      <c r="D72" s="49"/>
      <c r="E72" s="49"/>
      <c r="F72" s="42">
        <v>50</v>
      </c>
      <c r="G72" s="36">
        <v>50</v>
      </c>
      <c r="H72" s="37"/>
      <c r="I72" s="37"/>
      <c r="J72" s="37"/>
      <c r="K72" s="37"/>
      <c r="L72" s="37"/>
    </row>
    <row r="73" spans="1:15" outlineLevel="1" x14ac:dyDescent="0.3">
      <c r="B73" s="37"/>
      <c r="C73" s="37"/>
      <c r="D73" s="49"/>
      <c r="E73" s="49"/>
      <c r="F73" s="42">
        <v>66.666666666666671</v>
      </c>
      <c r="G73" s="36">
        <v>67</v>
      </c>
      <c r="H73" s="37"/>
      <c r="I73" s="37"/>
      <c r="J73" s="37"/>
      <c r="K73" s="37"/>
      <c r="L73" s="37"/>
    </row>
    <row r="74" spans="1:15" outlineLevel="1" x14ac:dyDescent="0.3">
      <c r="B74" s="37"/>
      <c r="C74" s="37"/>
      <c r="D74" s="49"/>
      <c r="E74" s="49"/>
      <c r="F74" s="42">
        <v>83.333333333333343</v>
      </c>
      <c r="G74" s="36">
        <v>83</v>
      </c>
      <c r="H74" s="37"/>
      <c r="I74" s="37"/>
      <c r="J74" s="37"/>
      <c r="K74" s="37"/>
      <c r="L74" s="37"/>
    </row>
    <row r="75" spans="1:15" outlineLevel="1" x14ac:dyDescent="0.3">
      <c r="B75" s="37"/>
      <c r="C75" s="37"/>
      <c r="D75" s="49"/>
      <c r="E75" s="49"/>
      <c r="F75" s="42">
        <v>100.00000000000001</v>
      </c>
      <c r="G75" s="36">
        <v>100</v>
      </c>
      <c r="H75" s="37"/>
      <c r="I75" s="37"/>
      <c r="J75" s="37"/>
      <c r="K75" s="37"/>
      <c r="L75" s="37"/>
    </row>
    <row r="76" spans="1:15" outlineLevel="1" x14ac:dyDescent="0.3">
      <c r="B76" s="37"/>
      <c r="C76" s="37"/>
      <c r="D76" s="49"/>
      <c r="E76" s="49"/>
      <c r="F76" s="43"/>
      <c r="G76" s="49"/>
      <c r="H76" s="37"/>
      <c r="I76" s="37"/>
      <c r="J76" s="37"/>
      <c r="K76" s="37"/>
      <c r="L76" s="37"/>
    </row>
    <row r="77" spans="1:15" ht="25.8" outlineLevel="1" x14ac:dyDescent="0.5">
      <c r="B77" s="37"/>
      <c r="C77" s="127" t="s">
        <v>224</v>
      </c>
      <c r="D77" s="49"/>
      <c r="E77" s="49"/>
      <c r="F77" s="43"/>
      <c r="G77" s="49"/>
      <c r="H77" s="37"/>
      <c r="I77" s="37"/>
      <c r="J77" s="37"/>
      <c r="K77" s="37"/>
      <c r="L77" s="37"/>
    </row>
    <row r="78" spans="1:15" ht="18" outlineLevel="1" x14ac:dyDescent="0.35">
      <c r="B78" s="37"/>
      <c r="C78" s="37"/>
      <c r="D78" s="37"/>
      <c r="E78" s="37"/>
      <c r="F78" s="41" t="s">
        <v>229</v>
      </c>
      <c r="G78" s="41" t="s">
        <v>230</v>
      </c>
      <c r="H78" s="37"/>
      <c r="I78" s="129" t="s">
        <v>231</v>
      </c>
      <c r="J78" s="129"/>
      <c r="K78" s="129"/>
      <c r="L78" s="37"/>
    </row>
    <row r="79" spans="1:15" ht="16.5" customHeight="1" outlineLevel="1" x14ac:dyDescent="0.35">
      <c r="B79" s="37"/>
      <c r="C79" s="37"/>
      <c r="D79" s="37"/>
      <c r="E79" s="37"/>
      <c r="F79" s="42">
        <v>0</v>
      </c>
      <c r="G79" s="36">
        <v>0</v>
      </c>
      <c r="H79" s="37"/>
      <c r="I79" s="129" t="s">
        <v>232</v>
      </c>
      <c r="J79" s="129"/>
      <c r="K79" s="129"/>
      <c r="L79" s="37"/>
      <c r="N79" s="24"/>
      <c r="O79" s="24"/>
    </row>
    <row r="80" spans="1:15" outlineLevel="1" x14ac:dyDescent="0.3">
      <c r="B80" s="37"/>
      <c r="C80" s="37"/>
      <c r="D80" s="37"/>
      <c r="E80" s="37"/>
      <c r="F80" s="42">
        <v>16.666666666666668</v>
      </c>
      <c r="G80" s="36">
        <v>17</v>
      </c>
      <c r="H80" s="37"/>
      <c r="I80" s="37"/>
      <c r="J80" s="37"/>
      <c r="K80" s="37"/>
      <c r="L80" s="37"/>
      <c r="N80" s="24"/>
      <c r="O80" s="24"/>
    </row>
    <row r="81" spans="2:15" outlineLevel="1" x14ac:dyDescent="0.3">
      <c r="B81" s="37"/>
      <c r="C81" s="37"/>
      <c r="D81" s="37"/>
      <c r="E81" s="37"/>
      <c r="F81" s="42">
        <v>33.333333333333336</v>
      </c>
      <c r="G81" s="36">
        <v>33</v>
      </c>
      <c r="H81" s="37"/>
      <c r="I81" s="37"/>
      <c r="J81" s="37"/>
      <c r="K81" s="37"/>
      <c r="L81" s="37"/>
      <c r="N81" s="24"/>
      <c r="O81" s="24"/>
    </row>
    <row r="82" spans="2:15" outlineLevel="1" x14ac:dyDescent="0.3">
      <c r="B82" s="37"/>
      <c r="C82" s="37"/>
      <c r="D82" s="37"/>
      <c r="E82" s="37"/>
      <c r="F82" s="42">
        <v>50</v>
      </c>
      <c r="G82" s="36">
        <v>50</v>
      </c>
      <c r="H82" s="37"/>
      <c r="I82" s="37"/>
      <c r="J82" s="37"/>
      <c r="K82" s="37"/>
      <c r="L82" s="37"/>
      <c r="N82" s="24"/>
      <c r="O82" s="24"/>
    </row>
    <row r="83" spans="2:15" outlineLevel="1" x14ac:dyDescent="0.3">
      <c r="B83" s="37"/>
      <c r="C83" s="37"/>
      <c r="D83" s="37"/>
      <c r="E83" s="37"/>
      <c r="F83" s="42">
        <v>66.666666666666671</v>
      </c>
      <c r="G83" s="36">
        <v>67</v>
      </c>
      <c r="H83" s="37"/>
      <c r="I83" s="37"/>
      <c r="J83" s="37"/>
      <c r="K83" s="37"/>
      <c r="L83" s="37"/>
      <c r="N83" s="24"/>
      <c r="O83" s="24"/>
    </row>
    <row r="84" spans="2:15" outlineLevel="1" x14ac:dyDescent="0.3">
      <c r="B84" s="37"/>
      <c r="C84" s="37"/>
      <c r="D84" s="37"/>
      <c r="E84" s="37"/>
      <c r="F84" s="42">
        <v>83.333333333333343</v>
      </c>
      <c r="G84" s="36">
        <v>83</v>
      </c>
      <c r="H84" s="37"/>
      <c r="I84" s="37"/>
      <c r="J84" s="37"/>
      <c r="K84" s="37"/>
      <c r="L84" s="37"/>
      <c r="N84" s="24"/>
      <c r="O84" s="24"/>
    </row>
    <row r="85" spans="2:15" outlineLevel="1" x14ac:dyDescent="0.3">
      <c r="B85" s="37"/>
      <c r="C85" s="37"/>
      <c r="D85" s="37"/>
      <c r="E85" s="37"/>
      <c r="F85" s="42">
        <v>100.00000000000001</v>
      </c>
      <c r="G85" s="36">
        <v>100</v>
      </c>
      <c r="H85" s="37"/>
      <c r="I85" s="37"/>
      <c r="J85" s="37"/>
      <c r="K85" s="37"/>
      <c r="L85" s="37"/>
      <c r="N85" s="24"/>
      <c r="O85" s="24"/>
    </row>
    <row r="86" spans="2:15" outlineLevel="1" x14ac:dyDescent="0.3">
      <c r="B86" s="37"/>
      <c r="C86" s="37"/>
      <c r="D86" s="37"/>
      <c r="E86" s="37"/>
      <c r="F86" s="37"/>
      <c r="G86" s="37"/>
      <c r="H86" s="37"/>
      <c r="I86" s="37"/>
      <c r="J86" s="37"/>
      <c r="K86" s="37"/>
      <c r="L86" s="37"/>
      <c r="N86" s="24"/>
      <c r="O86" s="24"/>
    </row>
    <row r="87" spans="2:15" outlineLevel="1" x14ac:dyDescent="0.3">
      <c r="B87" s="37"/>
      <c r="C87" s="37"/>
      <c r="D87" s="37"/>
      <c r="E87" s="37"/>
      <c r="F87" s="37"/>
      <c r="G87" s="37"/>
      <c r="H87" s="37"/>
      <c r="I87" s="37"/>
      <c r="J87" s="37"/>
      <c r="K87" s="37"/>
      <c r="L87" s="37"/>
      <c r="N87" s="24"/>
      <c r="O87" s="24"/>
    </row>
    <row r="88" spans="2:15" ht="25.8" outlineLevel="1" x14ac:dyDescent="0.5">
      <c r="B88" s="37"/>
      <c r="C88" s="127" t="s">
        <v>225</v>
      </c>
      <c r="D88" s="37"/>
      <c r="E88" s="37"/>
      <c r="F88" s="37"/>
      <c r="G88" s="37"/>
      <c r="H88" s="37"/>
      <c r="I88" s="37"/>
      <c r="J88" s="37"/>
      <c r="K88" s="37"/>
      <c r="L88" s="37"/>
      <c r="N88" s="24"/>
      <c r="O88" s="24"/>
    </row>
    <row r="89" spans="2:15" ht="18" outlineLevel="1" x14ac:dyDescent="0.35">
      <c r="B89" s="37"/>
      <c r="C89" s="37"/>
      <c r="D89" s="37"/>
      <c r="E89" s="37"/>
      <c r="F89" s="41" t="s">
        <v>229</v>
      </c>
      <c r="G89" s="41" t="s">
        <v>230</v>
      </c>
      <c r="H89" s="37"/>
      <c r="I89" s="129" t="s">
        <v>231</v>
      </c>
      <c r="J89" s="129"/>
      <c r="K89" s="129"/>
      <c r="L89" s="37"/>
      <c r="N89" s="24"/>
      <c r="O89" s="24"/>
    </row>
    <row r="90" spans="2:15" ht="15" customHeight="1" outlineLevel="1" x14ac:dyDescent="0.35">
      <c r="B90" s="37"/>
      <c r="C90" s="37"/>
      <c r="D90" s="37"/>
      <c r="E90" s="37"/>
      <c r="F90" s="42">
        <v>-100</v>
      </c>
      <c r="G90" s="36">
        <v>-100</v>
      </c>
      <c r="H90" s="37"/>
      <c r="I90" s="129" t="s">
        <v>232</v>
      </c>
      <c r="J90" s="129"/>
      <c r="K90" s="129"/>
      <c r="L90" s="37"/>
      <c r="N90" s="24"/>
      <c r="O90" s="24"/>
    </row>
    <row r="91" spans="2:15" outlineLevel="1" x14ac:dyDescent="0.3">
      <c r="B91" s="37"/>
      <c r="C91" s="37"/>
      <c r="D91" s="37"/>
      <c r="E91" s="37"/>
      <c r="F91" s="42">
        <v>-66.666666666666657</v>
      </c>
      <c r="G91" s="36">
        <v>-67</v>
      </c>
      <c r="H91" s="37"/>
      <c r="I91" s="37"/>
      <c r="J91" s="37"/>
      <c r="K91" s="37"/>
      <c r="L91" s="37"/>
      <c r="N91" s="24"/>
      <c r="O91" s="24"/>
    </row>
    <row r="92" spans="2:15" outlineLevel="1" x14ac:dyDescent="0.3">
      <c r="B92" s="37"/>
      <c r="C92" s="37"/>
      <c r="D92" s="37"/>
      <c r="E92" s="37"/>
      <c r="F92" s="42">
        <v>-33.333333333333321</v>
      </c>
      <c r="G92" s="36">
        <v>-33</v>
      </c>
      <c r="H92" s="37"/>
      <c r="I92" s="37"/>
      <c r="J92" s="37"/>
      <c r="K92" s="37"/>
      <c r="L92" s="37"/>
      <c r="N92" s="24"/>
      <c r="O92" s="24"/>
    </row>
    <row r="93" spans="2:15" outlineLevel="1" x14ac:dyDescent="0.3">
      <c r="B93" s="37"/>
      <c r="C93" s="37"/>
      <c r="D93" s="37"/>
      <c r="E93" s="37"/>
      <c r="F93" s="42">
        <v>0</v>
      </c>
      <c r="G93" s="36">
        <v>0</v>
      </c>
      <c r="H93" s="37"/>
      <c r="I93" s="37"/>
      <c r="J93" s="37"/>
      <c r="K93" s="37"/>
      <c r="L93" s="37"/>
      <c r="N93" s="24"/>
      <c r="O93" s="24"/>
    </row>
    <row r="94" spans="2:15" outlineLevel="1" x14ac:dyDescent="0.3">
      <c r="B94" s="37"/>
      <c r="C94" s="37"/>
      <c r="D94" s="37"/>
      <c r="E94" s="37"/>
      <c r="F94" s="42">
        <v>33.333333333333336</v>
      </c>
      <c r="G94" s="36">
        <v>33</v>
      </c>
      <c r="H94" s="37"/>
      <c r="I94" s="37"/>
      <c r="J94" s="37"/>
      <c r="K94" s="37"/>
      <c r="L94" s="37"/>
      <c r="N94" s="24"/>
      <c r="O94" s="24"/>
    </row>
    <row r="95" spans="2:15" outlineLevel="1" x14ac:dyDescent="0.3">
      <c r="B95" s="37"/>
      <c r="C95" s="37"/>
      <c r="D95" s="37"/>
      <c r="E95" s="37"/>
      <c r="F95" s="42">
        <v>66.666666666666671</v>
      </c>
      <c r="G95" s="36">
        <v>67</v>
      </c>
      <c r="H95" s="37"/>
      <c r="I95" s="37"/>
      <c r="J95" s="37"/>
      <c r="K95" s="37"/>
      <c r="L95" s="37"/>
      <c r="N95" s="24"/>
      <c r="O95" s="24"/>
    </row>
    <row r="96" spans="2:15" outlineLevel="1" x14ac:dyDescent="0.3">
      <c r="B96" s="37"/>
      <c r="C96" s="37"/>
      <c r="D96" s="37"/>
      <c r="E96" s="37"/>
      <c r="F96" s="42">
        <v>100</v>
      </c>
      <c r="G96" s="36">
        <v>100</v>
      </c>
      <c r="H96" s="37"/>
      <c r="I96" s="37"/>
      <c r="J96" s="37"/>
      <c r="K96" s="37"/>
      <c r="L96" s="37"/>
      <c r="N96" s="24"/>
      <c r="O96" s="24"/>
    </row>
    <row r="97" spans="2:15" outlineLevel="1" x14ac:dyDescent="0.3">
      <c r="B97" s="37"/>
      <c r="C97" s="37"/>
      <c r="D97" s="37"/>
      <c r="E97" s="37"/>
      <c r="F97" s="37"/>
      <c r="G97" s="37"/>
      <c r="H97" s="37"/>
      <c r="I97" s="37"/>
      <c r="J97" s="37"/>
      <c r="K97" s="37"/>
      <c r="L97" s="37"/>
      <c r="N97" s="24"/>
      <c r="O97" s="24"/>
    </row>
    <row r="98" spans="2:15" outlineLevel="1" x14ac:dyDescent="0.3">
      <c r="B98" s="37"/>
      <c r="C98" s="37"/>
      <c r="D98" s="37"/>
      <c r="E98" s="37"/>
      <c r="F98" s="37"/>
      <c r="G98" s="37"/>
      <c r="H98" s="37"/>
      <c r="I98" s="37"/>
      <c r="J98" s="37"/>
      <c r="K98" s="37"/>
      <c r="L98" s="37"/>
      <c r="N98" s="24"/>
      <c r="O98" s="24"/>
    </row>
    <row r="99" spans="2:15" ht="25.8" outlineLevel="1" x14ac:dyDescent="0.5">
      <c r="B99" s="37"/>
      <c r="C99" s="127" t="s">
        <v>226</v>
      </c>
      <c r="D99" s="37"/>
      <c r="E99" s="37"/>
      <c r="F99" s="37"/>
      <c r="G99" s="37"/>
      <c r="H99" s="37"/>
      <c r="I99" s="37"/>
      <c r="J99" s="37"/>
      <c r="K99" s="37"/>
      <c r="L99" s="37"/>
      <c r="N99" s="24"/>
      <c r="O99" s="24"/>
    </row>
    <row r="100" spans="2:15" ht="18" outlineLevel="1" x14ac:dyDescent="0.35">
      <c r="B100" s="37"/>
      <c r="C100" s="37"/>
      <c r="D100" s="37"/>
      <c r="E100" s="37"/>
      <c r="F100" s="41" t="s">
        <v>229</v>
      </c>
      <c r="G100" s="41" t="s">
        <v>230</v>
      </c>
      <c r="H100" s="37"/>
      <c r="I100" s="129" t="s">
        <v>231</v>
      </c>
      <c r="J100" s="37"/>
      <c r="K100" s="37"/>
      <c r="L100" s="37"/>
      <c r="N100" s="24"/>
      <c r="O100" s="24"/>
    </row>
    <row r="101" spans="2:15" ht="15.75" customHeight="1" outlineLevel="1" x14ac:dyDescent="0.35">
      <c r="B101" s="37"/>
      <c r="C101" s="37"/>
      <c r="D101" s="37"/>
      <c r="E101" s="37"/>
      <c r="F101" s="42">
        <v>-100</v>
      </c>
      <c r="G101" s="36">
        <v>-100</v>
      </c>
      <c r="H101" s="37"/>
      <c r="I101" s="129" t="s">
        <v>232</v>
      </c>
      <c r="J101" s="37"/>
      <c r="K101" s="37"/>
      <c r="L101" s="37"/>
      <c r="N101" s="24"/>
      <c r="O101" s="24"/>
    </row>
    <row r="102" spans="2:15" outlineLevel="1" x14ac:dyDescent="0.3">
      <c r="B102" s="37"/>
      <c r="C102" s="37"/>
      <c r="D102" s="37"/>
      <c r="E102" s="37"/>
      <c r="F102" s="42">
        <v>-66.666666666666657</v>
      </c>
      <c r="G102" s="36">
        <v>-67</v>
      </c>
      <c r="H102" s="37"/>
      <c r="I102" s="37"/>
      <c r="J102" s="37"/>
      <c r="K102" s="37"/>
      <c r="L102" s="37"/>
      <c r="N102" s="24"/>
      <c r="O102" s="24"/>
    </row>
    <row r="103" spans="2:15" outlineLevel="1" x14ac:dyDescent="0.3">
      <c r="B103" s="37"/>
      <c r="C103" s="37"/>
      <c r="D103" s="37"/>
      <c r="E103" s="37"/>
      <c r="F103" s="42">
        <v>-33.333333333333321</v>
      </c>
      <c r="G103" s="36">
        <v>-33</v>
      </c>
      <c r="H103" s="37"/>
      <c r="I103" s="37"/>
      <c r="J103" s="37"/>
      <c r="K103" s="37"/>
      <c r="L103" s="37"/>
      <c r="N103" s="24"/>
      <c r="O103" s="24"/>
    </row>
    <row r="104" spans="2:15" outlineLevel="1" x14ac:dyDescent="0.3">
      <c r="B104" s="37"/>
      <c r="C104" s="37"/>
      <c r="D104" s="37"/>
      <c r="E104" s="37"/>
      <c r="F104" s="42">
        <v>0</v>
      </c>
      <c r="G104" s="36">
        <v>0</v>
      </c>
      <c r="H104" s="37"/>
      <c r="I104" s="37"/>
      <c r="J104" s="37"/>
      <c r="K104" s="37"/>
      <c r="L104" s="37"/>
      <c r="N104" s="24"/>
      <c r="O104" s="24"/>
    </row>
    <row r="105" spans="2:15" outlineLevel="1" x14ac:dyDescent="0.3">
      <c r="B105" s="37"/>
      <c r="C105" s="37"/>
      <c r="D105" s="37"/>
      <c r="E105" s="37"/>
      <c r="F105" s="42">
        <v>33.333333333333336</v>
      </c>
      <c r="G105" s="36">
        <v>33</v>
      </c>
      <c r="H105" s="37"/>
      <c r="I105" s="37"/>
      <c r="J105" s="37"/>
      <c r="K105" s="37"/>
      <c r="L105" s="37"/>
      <c r="N105" s="24"/>
      <c r="O105" s="24"/>
    </row>
    <row r="106" spans="2:15" outlineLevel="1" x14ac:dyDescent="0.3">
      <c r="B106" s="37"/>
      <c r="C106" s="37"/>
      <c r="D106" s="37"/>
      <c r="E106" s="37"/>
      <c r="F106" s="42">
        <v>66.666666666666671</v>
      </c>
      <c r="G106" s="36">
        <v>67</v>
      </c>
      <c r="H106" s="37"/>
      <c r="I106" s="37"/>
      <c r="J106" s="37"/>
      <c r="K106" s="37"/>
      <c r="L106" s="37"/>
      <c r="N106" s="24"/>
      <c r="O106" s="24"/>
    </row>
    <row r="107" spans="2:15" outlineLevel="1" x14ac:dyDescent="0.3">
      <c r="B107" s="37"/>
      <c r="C107" s="37"/>
      <c r="D107" s="37"/>
      <c r="E107" s="37"/>
      <c r="F107" s="42">
        <v>100</v>
      </c>
      <c r="G107" s="36">
        <v>100</v>
      </c>
      <c r="H107" s="37"/>
      <c r="I107" s="37"/>
      <c r="J107" s="37"/>
      <c r="K107" s="37"/>
      <c r="L107" s="37"/>
      <c r="N107" s="24"/>
      <c r="O107" s="24"/>
    </row>
    <row r="108" spans="2:15" outlineLevel="1" x14ac:dyDescent="0.3"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N108" s="24"/>
      <c r="O108" s="24"/>
    </row>
    <row r="109" spans="2:15" outlineLevel="1" x14ac:dyDescent="0.3"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N109" s="24"/>
      <c r="O109" s="24"/>
    </row>
    <row r="110" spans="2:15" ht="25.8" outlineLevel="1" x14ac:dyDescent="0.5">
      <c r="B110" s="37"/>
      <c r="C110" s="127" t="s">
        <v>227</v>
      </c>
      <c r="D110" s="37"/>
      <c r="E110" s="37"/>
      <c r="F110" s="37"/>
      <c r="G110" s="37"/>
      <c r="H110" s="37"/>
      <c r="I110" s="37"/>
      <c r="J110" s="37"/>
      <c r="K110" s="37"/>
      <c r="L110" s="37"/>
      <c r="N110" s="24"/>
      <c r="O110" s="24"/>
    </row>
    <row r="111" spans="2:15" ht="7.5" customHeight="1" outlineLevel="1" x14ac:dyDescent="0.3"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N111" s="24"/>
      <c r="O111" s="24"/>
    </row>
    <row r="112" spans="2:15" ht="18" outlineLevel="1" x14ac:dyDescent="0.35">
      <c r="B112" s="37"/>
      <c r="C112" s="37"/>
      <c r="D112" s="37"/>
      <c r="E112" s="37"/>
      <c r="F112" s="41" t="s">
        <v>229</v>
      </c>
      <c r="G112" s="41" t="s">
        <v>230</v>
      </c>
      <c r="H112" s="37"/>
      <c r="I112" s="129" t="s">
        <v>231</v>
      </c>
      <c r="J112" s="37"/>
      <c r="K112" s="37"/>
      <c r="L112" s="37"/>
      <c r="N112" s="24"/>
      <c r="O112" s="24"/>
    </row>
    <row r="113" spans="2:15" ht="16.5" customHeight="1" outlineLevel="1" x14ac:dyDescent="0.35">
      <c r="B113" s="37"/>
      <c r="C113" s="37"/>
      <c r="D113" s="37"/>
      <c r="E113" s="37"/>
      <c r="F113" s="42">
        <v>-100</v>
      </c>
      <c r="G113" s="36">
        <v>-100</v>
      </c>
      <c r="H113" s="37"/>
      <c r="I113" s="129" t="s">
        <v>232</v>
      </c>
      <c r="J113" s="37"/>
      <c r="K113" s="37"/>
      <c r="L113" s="37"/>
      <c r="N113" s="24"/>
      <c r="O113" s="24"/>
    </row>
    <row r="114" spans="2:15" outlineLevel="1" x14ac:dyDescent="0.3">
      <c r="B114" s="37"/>
      <c r="C114" s="37"/>
      <c r="D114" s="37"/>
      <c r="E114" s="37"/>
      <c r="F114" s="42">
        <v>-66.666666666666657</v>
      </c>
      <c r="G114" s="36">
        <v>-67</v>
      </c>
      <c r="H114" s="37"/>
      <c r="I114" s="37"/>
      <c r="J114" s="37"/>
      <c r="K114" s="37"/>
      <c r="L114" s="37"/>
      <c r="N114" s="24"/>
      <c r="O114" s="24"/>
    </row>
    <row r="115" spans="2:15" outlineLevel="1" x14ac:dyDescent="0.3">
      <c r="B115" s="37"/>
      <c r="C115" s="37"/>
      <c r="D115" s="37"/>
      <c r="E115" s="37"/>
      <c r="F115" s="42">
        <v>-33.333333333333321</v>
      </c>
      <c r="G115" s="36">
        <v>-33</v>
      </c>
      <c r="H115" s="37"/>
      <c r="I115" s="37"/>
      <c r="J115" s="37"/>
      <c r="K115" s="37"/>
      <c r="L115" s="37"/>
      <c r="N115" s="24"/>
      <c r="O115" s="24"/>
    </row>
    <row r="116" spans="2:15" outlineLevel="1" x14ac:dyDescent="0.3">
      <c r="B116" s="37"/>
      <c r="C116" s="37"/>
      <c r="D116" s="37"/>
      <c r="E116" s="37"/>
      <c r="F116" s="42">
        <v>0</v>
      </c>
      <c r="G116" s="36">
        <v>0</v>
      </c>
      <c r="H116" s="37"/>
      <c r="I116" s="37"/>
      <c r="J116" s="37"/>
      <c r="K116" s="37"/>
      <c r="L116" s="37"/>
      <c r="N116" s="24"/>
      <c r="O116" s="24"/>
    </row>
    <row r="117" spans="2:15" ht="13.5" customHeight="1" outlineLevel="1" x14ac:dyDescent="0.35">
      <c r="B117" s="37"/>
      <c r="C117" s="37"/>
      <c r="D117" s="37"/>
      <c r="E117" s="37"/>
      <c r="F117" s="42">
        <v>33.333333333333336</v>
      </c>
      <c r="G117" s="36">
        <v>33</v>
      </c>
      <c r="H117" s="37"/>
      <c r="I117" s="129" t="s">
        <v>233</v>
      </c>
      <c r="J117" s="37"/>
      <c r="K117" s="44" t="s">
        <v>234</v>
      </c>
      <c r="L117" s="37"/>
      <c r="N117" s="24"/>
      <c r="O117" s="24"/>
    </row>
    <row r="118" spans="2:15" outlineLevel="1" x14ac:dyDescent="0.3">
      <c r="B118" s="37"/>
      <c r="C118" s="37"/>
      <c r="D118" s="37"/>
      <c r="E118" s="37"/>
      <c r="F118" s="42">
        <v>66.666666666666671</v>
      </c>
      <c r="G118" s="36">
        <v>67</v>
      </c>
      <c r="H118" s="37"/>
      <c r="I118" s="37"/>
      <c r="J118" s="37"/>
      <c r="K118" s="37"/>
      <c r="L118" s="37"/>
      <c r="N118" s="24"/>
      <c r="O118" s="24"/>
    </row>
    <row r="119" spans="2:15" outlineLevel="1" x14ac:dyDescent="0.3">
      <c r="B119" s="37"/>
      <c r="C119" s="37"/>
      <c r="D119" s="37"/>
      <c r="E119" s="37"/>
      <c r="F119" s="42">
        <v>100</v>
      </c>
      <c r="G119" s="36">
        <v>100</v>
      </c>
      <c r="H119" s="37"/>
      <c r="I119" s="37"/>
      <c r="J119" s="37"/>
      <c r="K119" s="37"/>
      <c r="L119" s="37"/>
      <c r="N119" s="24"/>
      <c r="O119" s="24"/>
    </row>
    <row r="120" spans="2:15" outlineLevel="1" x14ac:dyDescent="0.3"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N120" s="24"/>
      <c r="O120" s="24"/>
    </row>
    <row r="121" spans="2:15" ht="25.8" outlineLevel="1" x14ac:dyDescent="0.5">
      <c r="B121" s="37"/>
      <c r="C121" s="127" t="s">
        <v>228</v>
      </c>
      <c r="D121" s="37"/>
      <c r="E121" s="37"/>
      <c r="F121" s="37"/>
      <c r="G121" s="37"/>
      <c r="H121" s="37"/>
      <c r="I121" s="37"/>
      <c r="J121" s="37"/>
      <c r="K121" s="37"/>
      <c r="L121" s="37"/>
      <c r="N121" s="24"/>
      <c r="O121" s="24"/>
    </row>
    <row r="122" spans="2:15" ht="18" outlineLevel="1" x14ac:dyDescent="0.35">
      <c r="B122" s="37"/>
      <c r="C122" s="37"/>
      <c r="D122" s="37"/>
      <c r="E122" s="37"/>
      <c r="F122" s="41" t="s">
        <v>229</v>
      </c>
      <c r="G122" s="41" t="s">
        <v>230</v>
      </c>
      <c r="H122" s="37"/>
      <c r="I122" s="129" t="s">
        <v>231</v>
      </c>
      <c r="J122" s="37"/>
      <c r="K122" s="37"/>
      <c r="L122" s="37"/>
      <c r="N122" s="24"/>
      <c r="O122" s="24"/>
    </row>
    <row r="123" spans="2:15" ht="15" customHeight="1" outlineLevel="1" x14ac:dyDescent="0.35">
      <c r="B123" s="37"/>
      <c r="C123" s="37"/>
      <c r="D123" s="37"/>
      <c r="E123" s="37"/>
      <c r="F123" s="42">
        <v>-100</v>
      </c>
      <c r="G123" s="36">
        <v>-100</v>
      </c>
      <c r="H123" s="37"/>
      <c r="I123" s="129" t="s">
        <v>232</v>
      </c>
      <c r="J123" s="37"/>
      <c r="K123" s="37"/>
      <c r="L123" s="37"/>
      <c r="N123" s="24"/>
      <c r="O123" s="24"/>
    </row>
    <row r="124" spans="2:15" outlineLevel="1" x14ac:dyDescent="0.3">
      <c r="B124" s="37"/>
      <c r="C124" s="37"/>
      <c r="D124" s="37"/>
      <c r="E124" s="37"/>
      <c r="F124" s="42">
        <v>-66.666666666666657</v>
      </c>
      <c r="G124" s="36">
        <v>-67</v>
      </c>
      <c r="H124" s="37"/>
      <c r="I124" s="37"/>
      <c r="J124" s="37"/>
      <c r="K124" s="37"/>
      <c r="L124" s="37"/>
      <c r="N124" s="24"/>
      <c r="O124" s="24"/>
    </row>
    <row r="125" spans="2:15" outlineLevel="1" x14ac:dyDescent="0.3">
      <c r="B125" s="37"/>
      <c r="C125" s="37"/>
      <c r="D125" s="37"/>
      <c r="E125" s="37"/>
      <c r="F125" s="42">
        <v>-33.333333333333321</v>
      </c>
      <c r="G125" s="36">
        <v>-33</v>
      </c>
      <c r="H125" s="37"/>
      <c r="I125" s="37"/>
      <c r="J125" s="37"/>
      <c r="K125" s="37"/>
      <c r="L125" s="37"/>
      <c r="N125" s="24"/>
      <c r="O125" s="24"/>
    </row>
    <row r="126" spans="2:15" outlineLevel="1" x14ac:dyDescent="0.3">
      <c r="B126" s="37"/>
      <c r="C126" s="37"/>
      <c r="D126" s="37"/>
      <c r="E126" s="37"/>
      <c r="F126" s="42">
        <v>0</v>
      </c>
      <c r="G126" s="36">
        <v>0</v>
      </c>
      <c r="H126" s="37"/>
      <c r="I126" s="37"/>
      <c r="J126" s="37"/>
      <c r="K126" s="37"/>
      <c r="L126" s="37"/>
      <c r="N126" s="24"/>
      <c r="O126" s="24"/>
    </row>
    <row r="127" spans="2:15" ht="15" customHeight="1" outlineLevel="1" x14ac:dyDescent="0.35">
      <c r="B127" s="37"/>
      <c r="C127" s="37"/>
      <c r="D127" s="37"/>
      <c r="E127" s="37"/>
      <c r="F127" s="42">
        <v>33.333333333333336</v>
      </c>
      <c r="G127" s="36">
        <v>33</v>
      </c>
      <c r="H127" s="37"/>
      <c r="I127" s="129" t="s">
        <v>233</v>
      </c>
      <c r="J127" s="37"/>
      <c r="K127" s="44" t="s">
        <v>234</v>
      </c>
      <c r="L127" s="37"/>
      <c r="N127" s="24"/>
      <c r="O127" s="24"/>
    </row>
    <row r="128" spans="2:15" ht="13.5" customHeight="1" outlineLevel="1" x14ac:dyDescent="0.3">
      <c r="B128" s="37"/>
      <c r="C128" s="37"/>
      <c r="D128" s="37"/>
      <c r="E128" s="37"/>
      <c r="F128" s="42">
        <v>66.666666666666671</v>
      </c>
      <c r="G128" s="36">
        <v>67</v>
      </c>
      <c r="H128" s="37"/>
      <c r="I128" s="37"/>
      <c r="J128" s="37"/>
      <c r="K128" s="37"/>
      <c r="L128" s="37"/>
      <c r="N128" s="24"/>
      <c r="O128" s="24"/>
    </row>
    <row r="129" spans="1:15" outlineLevel="1" x14ac:dyDescent="0.3">
      <c r="B129" s="37"/>
      <c r="C129" s="37"/>
      <c r="D129" s="37"/>
      <c r="E129" s="37"/>
      <c r="F129" s="42">
        <v>100</v>
      </c>
      <c r="G129" s="36">
        <v>100</v>
      </c>
      <c r="H129" s="37"/>
      <c r="I129" s="37"/>
      <c r="J129" s="37"/>
      <c r="K129" s="37"/>
      <c r="L129" s="37"/>
      <c r="N129" s="24"/>
      <c r="O129" s="24"/>
    </row>
    <row r="130" spans="1:15" outlineLevel="1" x14ac:dyDescent="0.3"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N130" s="24"/>
      <c r="O130" s="24"/>
    </row>
    <row r="131" spans="1:15" s="1" customFormat="1" x14ac:dyDescent="0.3">
      <c r="A131" s="115"/>
      <c r="B131" s="115"/>
      <c r="C131" s="115"/>
      <c r="D131" s="116"/>
      <c r="E131" s="116"/>
      <c r="F131" s="116"/>
      <c r="G131" s="116"/>
      <c r="H131" s="116"/>
      <c r="I131" s="116"/>
      <c r="J131" s="116"/>
      <c r="K131" s="116"/>
      <c r="L131" s="115"/>
      <c r="M131" s="115"/>
    </row>
    <row r="132" spans="1:15" s="1" customFormat="1" ht="31.2" x14ac:dyDescent="0.6">
      <c r="A132" s="115"/>
      <c r="B132" s="120"/>
      <c r="C132" s="118" t="s">
        <v>244</v>
      </c>
      <c r="D132" s="124"/>
      <c r="E132" s="124"/>
      <c r="F132" s="124"/>
      <c r="G132" s="124"/>
      <c r="H132" s="124"/>
      <c r="I132" s="124"/>
      <c r="J132" s="124"/>
      <c r="K132" s="124"/>
      <c r="L132" s="120"/>
      <c r="M132" s="115"/>
    </row>
    <row r="133" spans="1:15" s="1" customFormat="1" ht="20.25" customHeight="1" outlineLevel="1" x14ac:dyDescent="0.85">
      <c r="A133" s="115"/>
      <c r="B133" s="37"/>
      <c r="C133" s="125"/>
      <c r="D133" s="121"/>
      <c r="E133" s="121"/>
      <c r="F133" s="121"/>
      <c r="G133" s="121"/>
      <c r="H133" s="121"/>
      <c r="I133" s="121"/>
      <c r="J133" s="121"/>
      <c r="K133" s="121"/>
      <c r="L133" s="37"/>
      <c r="M133" s="115"/>
    </row>
    <row r="134" spans="1:15" ht="23.4" outlineLevel="1" x14ac:dyDescent="0.45">
      <c r="B134" s="37"/>
      <c r="C134" s="45" t="s">
        <v>245</v>
      </c>
      <c r="D134" s="46" t="s">
        <v>145</v>
      </c>
      <c r="E134" s="46" t="s">
        <v>146</v>
      </c>
      <c r="F134" s="46" t="s">
        <v>147</v>
      </c>
      <c r="G134" s="46" t="s">
        <v>148</v>
      </c>
      <c r="H134" s="46" t="s">
        <v>149</v>
      </c>
      <c r="I134" s="46" t="s">
        <v>150</v>
      </c>
      <c r="J134" s="46" t="s">
        <v>151</v>
      </c>
      <c r="K134" s="46" t="s">
        <v>152</v>
      </c>
      <c r="L134" s="37"/>
      <c r="N134" s="24"/>
      <c r="O134" s="24"/>
    </row>
    <row r="135" spans="1:15" outlineLevel="1" x14ac:dyDescent="0.3">
      <c r="B135" s="37"/>
      <c r="C135" s="35" t="s">
        <v>246</v>
      </c>
      <c r="D135" s="36" t="s">
        <v>266</v>
      </c>
      <c r="E135" s="47" t="s">
        <v>266</v>
      </c>
      <c r="F135" s="36" t="s">
        <v>266</v>
      </c>
      <c r="G135" s="47" t="s">
        <v>266</v>
      </c>
      <c r="H135" s="36" t="s">
        <v>264</v>
      </c>
      <c r="I135" s="47" t="s">
        <v>264</v>
      </c>
      <c r="J135" s="36" t="s">
        <v>264</v>
      </c>
      <c r="K135" s="47" t="s">
        <v>264</v>
      </c>
      <c r="L135" s="37"/>
      <c r="N135" s="24"/>
      <c r="O135" s="24"/>
    </row>
    <row r="136" spans="1:15" outlineLevel="1" x14ac:dyDescent="0.3">
      <c r="B136" s="37"/>
      <c r="C136" s="35" t="s">
        <v>433</v>
      </c>
      <c r="D136" s="36">
        <v>100</v>
      </c>
      <c r="E136" s="47">
        <v>100</v>
      </c>
      <c r="F136" s="36">
        <v>100</v>
      </c>
      <c r="G136" s="47">
        <v>100</v>
      </c>
      <c r="H136" s="36">
        <v>0</v>
      </c>
      <c r="I136" s="47">
        <v>0</v>
      </c>
      <c r="J136" s="36">
        <v>0</v>
      </c>
      <c r="K136" s="47">
        <v>0</v>
      </c>
      <c r="L136" s="37"/>
      <c r="N136" s="24"/>
      <c r="O136" s="24"/>
    </row>
    <row r="137" spans="1:15" outlineLevel="1" x14ac:dyDescent="0.3">
      <c r="B137" s="37"/>
      <c r="C137" s="35" t="s">
        <v>434</v>
      </c>
      <c r="D137" s="36">
        <v>100</v>
      </c>
      <c r="E137" s="47">
        <v>100</v>
      </c>
      <c r="F137" s="36">
        <v>100</v>
      </c>
      <c r="G137" s="47">
        <v>100</v>
      </c>
      <c r="H137" s="36">
        <v>0</v>
      </c>
      <c r="I137" s="47">
        <v>0</v>
      </c>
      <c r="J137" s="36">
        <v>0</v>
      </c>
      <c r="K137" s="47">
        <v>0</v>
      </c>
      <c r="L137" s="37"/>
      <c r="N137" s="24"/>
      <c r="O137" s="24"/>
    </row>
    <row r="138" spans="1:15" outlineLevel="1" x14ac:dyDescent="0.3">
      <c r="B138" s="37"/>
      <c r="C138" s="35" t="s">
        <v>437</v>
      </c>
      <c r="D138" s="36" t="s">
        <v>268</v>
      </c>
      <c r="E138" s="47" t="s">
        <v>268</v>
      </c>
      <c r="F138" s="36" t="s">
        <v>268</v>
      </c>
      <c r="G138" s="47" t="s">
        <v>268</v>
      </c>
      <c r="H138" s="36" t="s">
        <v>268</v>
      </c>
      <c r="I138" s="47" t="s">
        <v>268</v>
      </c>
      <c r="J138" s="36" t="s">
        <v>268</v>
      </c>
      <c r="K138" s="47" t="s">
        <v>268</v>
      </c>
      <c r="L138" s="37"/>
      <c r="N138" s="24"/>
      <c r="O138" s="24"/>
    </row>
    <row r="139" spans="1:15" outlineLevel="1" x14ac:dyDescent="0.3">
      <c r="B139" s="37"/>
      <c r="C139" s="35" t="s">
        <v>271</v>
      </c>
      <c r="D139" s="36">
        <v>15</v>
      </c>
      <c r="E139" s="47">
        <v>-15</v>
      </c>
      <c r="F139" s="36">
        <v>-15</v>
      </c>
      <c r="G139" s="47">
        <v>15</v>
      </c>
      <c r="H139" s="36">
        <v>0</v>
      </c>
      <c r="I139" s="47">
        <v>75</v>
      </c>
      <c r="J139" s="36">
        <v>0</v>
      </c>
      <c r="K139" s="47">
        <v>0</v>
      </c>
      <c r="L139" s="37"/>
      <c r="N139" s="24"/>
      <c r="O139" s="24"/>
    </row>
    <row r="140" spans="1:15" outlineLevel="1" x14ac:dyDescent="0.3">
      <c r="B140" s="37"/>
      <c r="C140" s="35" t="s">
        <v>272</v>
      </c>
      <c r="D140" s="36">
        <v>20</v>
      </c>
      <c r="E140" s="47">
        <v>-20</v>
      </c>
      <c r="F140" s="36">
        <v>-20</v>
      </c>
      <c r="G140" s="47">
        <v>20</v>
      </c>
      <c r="H140" s="36">
        <v>0</v>
      </c>
      <c r="I140" s="47">
        <v>100</v>
      </c>
      <c r="J140" s="36">
        <v>0</v>
      </c>
      <c r="K140" s="47">
        <v>0</v>
      </c>
      <c r="L140" s="37"/>
      <c r="N140" s="24"/>
      <c r="O140" s="24"/>
    </row>
    <row r="141" spans="1:15" outlineLevel="1" x14ac:dyDescent="0.3">
      <c r="B141" s="37"/>
      <c r="C141" s="35" t="s">
        <v>273</v>
      </c>
      <c r="D141" s="36">
        <v>-15</v>
      </c>
      <c r="E141" s="47">
        <v>-15</v>
      </c>
      <c r="F141" s="36">
        <v>15</v>
      </c>
      <c r="G141" s="47">
        <v>15</v>
      </c>
      <c r="H141" s="36">
        <v>75</v>
      </c>
      <c r="I141" s="47">
        <v>0</v>
      </c>
      <c r="J141" s="36">
        <v>0</v>
      </c>
      <c r="K141" s="47">
        <v>0</v>
      </c>
      <c r="L141" s="37"/>
      <c r="N141" s="24"/>
      <c r="O141" s="24"/>
    </row>
    <row r="142" spans="1:15" outlineLevel="1" x14ac:dyDescent="0.3">
      <c r="B142" s="37"/>
      <c r="C142" s="35" t="s">
        <v>274</v>
      </c>
      <c r="D142" s="36">
        <v>-20</v>
      </c>
      <c r="E142" s="47">
        <v>-20</v>
      </c>
      <c r="F142" s="36">
        <v>20</v>
      </c>
      <c r="G142" s="47">
        <v>20</v>
      </c>
      <c r="H142" s="36">
        <v>100</v>
      </c>
      <c r="I142" s="47">
        <v>0</v>
      </c>
      <c r="J142" s="36">
        <v>0</v>
      </c>
      <c r="K142" s="47">
        <v>0</v>
      </c>
      <c r="L142" s="37"/>
      <c r="N142" s="24"/>
      <c r="O142" s="24"/>
    </row>
    <row r="143" spans="1:15" outlineLevel="1" x14ac:dyDescent="0.3">
      <c r="B143" s="37"/>
      <c r="C143" s="35" t="s">
        <v>275</v>
      </c>
      <c r="D143" s="36">
        <v>-40</v>
      </c>
      <c r="E143" s="47">
        <v>40</v>
      </c>
      <c r="F143" s="36">
        <v>-40</v>
      </c>
      <c r="G143" s="47">
        <v>40</v>
      </c>
      <c r="H143" s="36">
        <v>0</v>
      </c>
      <c r="I143" s="47">
        <v>0</v>
      </c>
      <c r="J143" s="36">
        <v>75</v>
      </c>
      <c r="K143" s="47">
        <v>0</v>
      </c>
      <c r="L143" s="37"/>
      <c r="N143" s="24"/>
      <c r="O143" s="24"/>
    </row>
    <row r="144" spans="1:15" outlineLevel="1" x14ac:dyDescent="0.3">
      <c r="B144" s="37"/>
      <c r="C144" s="35" t="s">
        <v>276</v>
      </c>
      <c r="D144" s="36">
        <v>-50</v>
      </c>
      <c r="E144" s="47">
        <v>50</v>
      </c>
      <c r="F144" s="36">
        <v>-50</v>
      </c>
      <c r="G144" s="47">
        <v>50</v>
      </c>
      <c r="H144" s="36">
        <v>0</v>
      </c>
      <c r="I144" s="47">
        <v>0</v>
      </c>
      <c r="J144" s="36">
        <v>100</v>
      </c>
      <c r="K144" s="47">
        <v>0</v>
      </c>
      <c r="L144" s="37"/>
      <c r="N144" s="24"/>
      <c r="O144" s="24"/>
    </row>
    <row r="145" spans="2:15" outlineLevel="1" x14ac:dyDescent="0.3">
      <c r="B145" s="37"/>
      <c r="C145" s="35" t="s">
        <v>257</v>
      </c>
      <c r="D145" s="36" t="s">
        <v>30</v>
      </c>
      <c r="E145" s="47" t="s">
        <v>30</v>
      </c>
      <c r="F145" s="36" t="s">
        <v>30</v>
      </c>
      <c r="G145" s="47" t="s">
        <v>30</v>
      </c>
      <c r="H145" s="36" t="s">
        <v>29</v>
      </c>
      <c r="I145" s="47" t="s">
        <v>29</v>
      </c>
      <c r="J145" s="36" t="s">
        <v>29</v>
      </c>
      <c r="K145" s="47" t="s">
        <v>29</v>
      </c>
      <c r="L145" s="37"/>
      <c r="N145" s="24"/>
      <c r="O145" s="24"/>
    </row>
    <row r="146" spans="2:15" outlineLevel="1" x14ac:dyDescent="0.3">
      <c r="B146" s="37"/>
      <c r="C146" s="35" t="s">
        <v>248</v>
      </c>
      <c r="D146" s="36" t="s">
        <v>30</v>
      </c>
      <c r="E146" s="47" t="s">
        <v>30</v>
      </c>
      <c r="F146" s="36" t="s">
        <v>30</v>
      </c>
      <c r="G146" s="47" t="s">
        <v>30</v>
      </c>
      <c r="H146" s="36" t="s">
        <v>29</v>
      </c>
      <c r="I146" s="47" t="s">
        <v>29</v>
      </c>
      <c r="J146" s="36" t="s">
        <v>29</v>
      </c>
      <c r="K146" s="47" t="s">
        <v>29</v>
      </c>
      <c r="L146" s="37"/>
      <c r="N146" s="24"/>
      <c r="O146" s="24"/>
    </row>
    <row r="147" spans="2:15" outlineLevel="1" x14ac:dyDescent="0.3">
      <c r="B147" s="37"/>
      <c r="C147" s="35" t="s">
        <v>249</v>
      </c>
      <c r="D147" s="36" t="s">
        <v>30</v>
      </c>
      <c r="E147" s="47" t="s">
        <v>30</v>
      </c>
      <c r="F147" s="36" t="s">
        <v>30</v>
      </c>
      <c r="G147" s="47" t="s">
        <v>30</v>
      </c>
      <c r="H147" s="36" t="s">
        <v>29</v>
      </c>
      <c r="I147" s="47" t="s">
        <v>29</v>
      </c>
      <c r="J147" s="36" t="s">
        <v>29</v>
      </c>
      <c r="K147" s="47" t="s">
        <v>29</v>
      </c>
      <c r="L147" s="37"/>
      <c r="N147" s="24"/>
      <c r="O147" s="24"/>
    </row>
    <row r="148" spans="2:15" outlineLevel="1" x14ac:dyDescent="0.3">
      <c r="B148" s="37"/>
      <c r="C148" s="35" t="s">
        <v>250</v>
      </c>
      <c r="D148" s="36" t="s">
        <v>30</v>
      </c>
      <c r="E148" s="47" t="s">
        <v>30</v>
      </c>
      <c r="F148" s="36" t="s">
        <v>30</v>
      </c>
      <c r="G148" s="47" t="s">
        <v>30</v>
      </c>
      <c r="H148" s="36" t="s">
        <v>29</v>
      </c>
      <c r="I148" s="47" t="s">
        <v>29</v>
      </c>
      <c r="J148" s="36" t="s">
        <v>29</v>
      </c>
      <c r="K148" s="47" t="s">
        <v>29</v>
      </c>
      <c r="L148" s="37"/>
      <c r="N148" s="24"/>
      <c r="O148" s="24"/>
    </row>
    <row r="149" spans="2:15" outlineLevel="1" x14ac:dyDescent="0.3">
      <c r="B149" s="37"/>
      <c r="C149" s="35" t="s">
        <v>251</v>
      </c>
      <c r="D149" s="36" t="s">
        <v>30</v>
      </c>
      <c r="E149" s="47" t="s">
        <v>30</v>
      </c>
      <c r="F149" s="36" t="s">
        <v>30</v>
      </c>
      <c r="G149" s="47" t="s">
        <v>30</v>
      </c>
      <c r="H149" s="36" t="s">
        <v>29</v>
      </c>
      <c r="I149" s="47" t="s">
        <v>29</v>
      </c>
      <c r="J149" s="36" t="s">
        <v>29</v>
      </c>
      <c r="K149" s="47" t="s">
        <v>29</v>
      </c>
      <c r="L149" s="37"/>
      <c r="N149" s="24"/>
      <c r="O149" s="24"/>
    </row>
    <row r="150" spans="2:15" outlineLevel="1" x14ac:dyDescent="0.3">
      <c r="B150" s="37"/>
      <c r="C150" s="35" t="s">
        <v>252</v>
      </c>
      <c r="D150" s="36" t="s">
        <v>30</v>
      </c>
      <c r="E150" s="47" t="s">
        <v>30</v>
      </c>
      <c r="F150" s="36" t="s">
        <v>30</v>
      </c>
      <c r="G150" s="47" t="s">
        <v>30</v>
      </c>
      <c r="H150" s="36" t="s">
        <v>29</v>
      </c>
      <c r="I150" s="47" t="s">
        <v>29</v>
      </c>
      <c r="J150" s="36" t="s">
        <v>29</v>
      </c>
      <c r="K150" s="47" t="s">
        <v>29</v>
      </c>
      <c r="L150" s="37"/>
      <c r="N150" s="24"/>
      <c r="O150" s="24"/>
    </row>
    <row r="151" spans="2:15" outlineLevel="1" x14ac:dyDescent="0.3">
      <c r="B151" s="37"/>
      <c r="C151" s="35" t="s">
        <v>439</v>
      </c>
      <c r="D151" s="36" t="s">
        <v>30</v>
      </c>
      <c r="E151" s="47" t="s">
        <v>30</v>
      </c>
      <c r="F151" s="36" t="s">
        <v>30</v>
      </c>
      <c r="G151" s="47" t="s">
        <v>30</v>
      </c>
      <c r="H151" s="36" t="s">
        <v>29</v>
      </c>
      <c r="I151" s="47" t="s">
        <v>29</v>
      </c>
      <c r="J151" s="36" t="s">
        <v>29</v>
      </c>
      <c r="K151" s="47" t="s">
        <v>29</v>
      </c>
      <c r="L151" s="37"/>
      <c r="N151" s="24"/>
      <c r="O151" s="24"/>
    </row>
    <row r="152" spans="2:15" outlineLevel="1" x14ac:dyDescent="0.3">
      <c r="B152" s="37"/>
      <c r="C152" s="35" t="s">
        <v>440</v>
      </c>
      <c r="D152" s="36" t="s">
        <v>30</v>
      </c>
      <c r="E152" s="47" t="s">
        <v>30</v>
      </c>
      <c r="F152" s="36" t="s">
        <v>30</v>
      </c>
      <c r="G152" s="47" t="s">
        <v>30</v>
      </c>
      <c r="H152" s="36" t="s">
        <v>29</v>
      </c>
      <c r="I152" s="47" t="s">
        <v>29</v>
      </c>
      <c r="J152" s="36" t="s">
        <v>29</v>
      </c>
      <c r="K152" s="47" t="s">
        <v>29</v>
      </c>
      <c r="L152" s="37"/>
      <c r="N152" s="24"/>
      <c r="O152" s="24"/>
    </row>
    <row r="153" spans="2:15" outlineLevel="1" x14ac:dyDescent="0.3">
      <c r="B153" s="37"/>
      <c r="C153" s="35" t="s">
        <v>441</v>
      </c>
      <c r="D153" s="36" t="s">
        <v>30</v>
      </c>
      <c r="E153" s="47" t="s">
        <v>30</v>
      </c>
      <c r="F153" s="36" t="s">
        <v>30</v>
      </c>
      <c r="G153" s="47" t="s">
        <v>30</v>
      </c>
      <c r="H153" s="36" t="s">
        <v>29</v>
      </c>
      <c r="I153" s="47" t="s">
        <v>29</v>
      </c>
      <c r="J153" s="36" t="s">
        <v>29</v>
      </c>
      <c r="K153" s="47" t="s">
        <v>29</v>
      </c>
      <c r="L153" s="37"/>
      <c r="N153" s="24"/>
      <c r="O153" s="24"/>
    </row>
    <row r="154" spans="2:15" outlineLevel="1" x14ac:dyDescent="0.3">
      <c r="B154" s="37"/>
      <c r="C154" s="35" t="s">
        <v>442</v>
      </c>
      <c r="D154" s="36" t="s">
        <v>30</v>
      </c>
      <c r="E154" s="47" t="s">
        <v>30</v>
      </c>
      <c r="F154" s="36" t="s">
        <v>30</v>
      </c>
      <c r="G154" s="47" t="s">
        <v>30</v>
      </c>
      <c r="H154" s="36" t="s">
        <v>29</v>
      </c>
      <c r="I154" s="47" t="s">
        <v>29</v>
      </c>
      <c r="J154" s="36" t="s">
        <v>29</v>
      </c>
      <c r="K154" s="47" t="s">
        <v>29</v>
      </c>
      <c r="L154" s="37"/>
      <c r="N154" s="24"/>
      <c r="O154" s="24"/>
    </row>
    <row r="155" spans="2:15" outlineLevel="1" x14ac:dyDescent="0.3">
      <c r="B155" s="37"/>
      <c r="C155" s="35" t="s">
        <v>443</v>
      </c>
      <c r="D155" s="36" t="s">
        <v>30</v>
      </c>
      <c r="E155" s="47" t="s">
        <v>30</v>
      </c>
      <c r="F155" s="36" t="s">
        <v>30</v>
      </c>
      <c r="G155" s="47" t="s">
        <v>30</v>
      </c>
      <c r="H155" s="36" t="s">
        <v>29</v>
      </c>
      <c r="I155" s="47" t="s">
        <v>29</v>
      </c>
      <c r="J155" s="36" t="s">
        <v>29</v>
      </c>
      <c r="K155" s="47" t="s">
        <v>29</v>
      </c>
      <c r="L155" s="37"/>
      <c r="N155" s="24"/>
      <c r="O155" s="24"/>
    </row>
    <row r="156" spans="2:15" outlineLevel="1" x14ac:dyDescent="0.3">
      <c r="B156" s="37"/>
      <c r="C156" s="35" t="s">
        <v>444</v>
      </c>
      <c r="D156" s="36" t="s">
        <v>30</v>
      </c>
      <c r="E156" s="47" t="s">
        <v>30</v>
      </c>
      <c r="F156" s="36" t="s">
        <v>30</v>
      </c>
      <c r="G156" s="47" t="s">
        <v>30</v>
      </c>
      <c r="H156" s="36" t="s">
        <v>29</v>
      </c>
      <c r="I156" s="47" t="s">
        <v>29</v>
      </c>
      <c r="J156" s="36" t="s">
        <v>29</v>
      </c>
      <c r="K156" s="47" t="s">
        <v>29</v>
      </c>
      <c r="L156" s="37"/>
      <c r="N156" s="24"/>
      <c r="O156" s="24"/>
    </row>
    <row r="157" spans="2:15" outlineLevel="1" x14ac:dyDescent="0.3">
      <c r="B157" s="37"/>
      <c r="C157" s="35" t="s">
        <v>260</v>
      </c>
      <c r="D157" s="36" t="s">
        <v>234</v>
      </c>
      <c r="E157" s="47" t="s">
        <v>234</v>
      </c>
      <c r="F157" s="36" t="s">
        <v>234</v>
      </c>
      <c r="G157" s="47" t="s">
        <v>234</v>
      </c>
      <c r="H157" s="36" t="s">
        <v>234</v>
      </c>
      <c r="I157" s="47" t="s">
        <v>234</v>
      </c>
      <c r="J157" s="36" t="s">
        <v>234</v>
      </c>
      <c r="K157" s="47" t="s">
        <v>234</v>
      </c>
      <c r="L157" s="37"/>
      <c r="N157" s="24"/>
      <c r="O157" s="24"/>
    </row>
    <row r="158" spans="2:15" outlineLevel="1" x14ac:dyDescent="0.3">
      <c r="B158" s="37"/>
      <c r="C158" s="35" t="s">
        <v>277</v>
      </c>
      <c r="D158" s="36">
        <v>0</v>
      </c>
      <c r="E158" s="47">
        <v>0</v>
      </c>
      <c r="F158" s="36">
        <v>0</v>
      </c>
      <c r="G158" s="47">
        <v>0</v>
      </c>
      <c r="H158" s="36">
        <v>0</v>
      </c>
      <c r="I158" s="47">
        <v>0</v>
      </c>
      <c r="J158" s="36">
        <v>0</v>
      </c>
      <c r="K158" s="47">
        <v>0</v>
      </c>
      <c r="L158" s="37"/>
      <c r="N158" s="24"/>
      <c r="O158" s="24"/>
    </row>
    <row r="159" spans="2:15" outlineLevel="1" x14ac:dyDescent="0.3">
      <c r="B159" s="37"/>
      <c r="C159" s="35" t="s">
        <v>261</v>
      </c>
      <c r="D159" s="36" t="s">
        <v>234</v>
      </c>
      <c r="E159" s="47" t="s">
        <v>234</v>
      </c>
      <c r="F159" s="36" t="s">
        <v>234</v>
      </c>
      <c r="G159" s="47" t="s">
        <v>234</v>
      </c>
      <c r="H159" s="36" t="s">
        <v>234</v>
      </c>
      <c r="I159" s="47" t="s">
        <v>234</v>
      </c>
      <c r="J159" s="36" t="s">
        <v>234</v>
      </c>
      <c r="K159" s="47" t="s">
        <v>234</v>
      </c>
      <c r="L159" s="37"/>
      <c r="N159" s="24"/>
      <c r="O159" s="24"/>
    </row>
    <row r="160" spans="2:15" outlineLevel="1" x14ac:dyDescent="0.3">
      <c r="B160" s="37"/>
      <c r="C160" s="35" t="s">
        <v>278</v>
      </c>
      <c r="D160" s="36">
        <v>0</v>
      </c>
      <c r="E160" s="47">
        <v>0</v>
      </c>
      <c r="F160" s="36">
        <v>0</v>
      </c>
      <c r="G160" s="47">
        <v>0</v>
      </c>
      <c r="H160" s="36">
        <v>0</v>
      </c>
      <c r="I160" s="47">
        <v>0</v>
      </c>
      <c r="J160" s="36">
        <v>0</v>
      </c>
      <c r="K160" s="47">
        <v>0</v>
      </c>
      <c r="L160" s="37"/>
      <c r="N160" s="24"/>
      <c r="O160" s="24"/>
    </row>
    <row r="161" spans="1:15" outlineLevel="1" x14ac:dyDescent="0.3">
      <c r="B161" s="37"/>
      <c r="C161" s="35" t="s">
        <v>262</v>
      </c>
      <c r="D161" s="36" t="s">
        <v>234</v>
      </c>
      <c r="E161" s="47" t="s">
        <v>234</v>
      </c>
      <c r="F161" s="36" t="s">
        <v>234</v>
      </c>
      <c r="G161" s="47" t="s">
        <v>234</v>
      </c>
      <c r="H161" s="36" t="s">
        <v>234</v>
      </c>
      <c r="I161" s="47" t="s">
        <v>234</v>
      </c>
      <c r="J161" s="36" t="s">
        <v>234</v>
      </c>
      <c r="K161" s="47" t="s">
        <v>234</v>
      </c>
      <c r="L161" s="37"/>
      <c r="N161" s="24"/>
      <c r="O161" s="24"/>
    </row>
    <row r="162" spans="1:15" outlineLevel="1" x14ac:dyDescent="0.3">
      <c r="B162" s="37"/>
      <c r="C162" s="35" t="s">
        <v>279</v>
      </c>
      <c r="D162" s="36">
        <v>0</v>
      </c>
      <c r="E162" s="47">
        <v>0</v>
      </c>
      <c r="F162" s="36">
        <v>0</v>
      </c>
      <c r="G162" s="47">
        <v>0</v>
      </c>
      <c r="H162" s="36">
        <v>0</v>
      </c>
      <c r="I162" s="47">
        <v>0</v>
      </c>
      <c r="J162" s="36">
        <v>0</v>
      </c>
      <c r="K162" s="47">
        <v>0</v>
      </c>
      <c r="L162" s="37"/>
      <c r="N162" s="24"/>
      <c r="O162" s="24"/>
    </row>
    <row r="163" spans="1:15" outlineLevel="1" x14ac:dyDescent="0.3">
      <c r="B163" s="37"/>
      <c r="C163" s="35" t="s">
        <v>384</v>
      </c>
      <c r="D163" s="36" t="s">
        <v>234</v>
      </c>
      <c r="E163" s="47" t="s">
        <v>234</v>
      </c>
      <c r="F163" s="36" t="s">
        <v>234</v>
      </c>
      <c r="G163" s="47" t="s">
        <v>234</v>
      </c>
      <c r="H163" s="36" t="s">
        <v>234</v>
      </c>
      <c r="I163" s="47" t="s">
        <v>234</v>
      </c>
      <c r="J163" s="36" t="s">
        <v>234</v>
      </c>
      <c r="K163" s="47" t="s">
        <v>234</v>
      </c>
      <c r="L163" s="37"/>
      <c r="N163" s="24"/>
      <c r="O163" s="24"/>
    </row>
    <row r="164" spans="1:15" outlineLevel="1" x14ac:dyDescent="0.3">
      <c r="B164" s="37"/>
      <c r="C164" s="35" t="s">
        <v>385</v>
      </c>
      <c r="D164" s="36">
        <v>0</v>
      </c>
      <c r="E164" s="47">
        <v>0</v>
      </c>
      <c r="F164" s="36">
        <v>0</v>
      </c>
      <c r="G164" s="47">
        <v>0</v>
      </c>
      <c r="H164" s="36">
        <v>0</v>
      </c>
      <c r="I164" s="47">
        <v>0</v>
      </c>
      <c r="J164" s="36">
        <v>0</v>
      </c>
      <c r="K164" s="47">
        <v>0</v>
      </c>
      <c r="L164" s="37"/>
      <c r="N164" s="24"/>
      <c r="O164" s="24"/>
    </row>
    <row r="165" spans="1:15" s="1" customFormat="1" ht="29.25" customHeight="1" outlineLevel="1" x14ac:dyDescent="0.85">
      <c r="A165" s="115"/>
      <c r="B165" s="37"/>
      <c r="C165" s="125"/>
      <c r="D165" s="121"/>
      <c r="E165" s="121"/>
      <c r="F165" s="121"/>
      <c r="G165" s="121"/>
      <c r="H165" s="121"/>
      <c r="I165" s="121"/>
      <c r="J165" s="121"/>
      <c r="K165" s="121"/>
      <c r="L165" s="37"/>
      <c r="M165" s="115"/>
    </row>
    <row r="166" spans="1:15" s="1" customFormat="1" x14ac:dyDescent="0.3">
      <c r="A166" s="115"/>
      <c r="B166" s="115"/>
      <c r="C166" s="115"/>
      <c r="D166" s="116"/>
      <c r="E166" s="116"/>
      <c r="F166" s="116"/>
      <c r="G166" s="116"/>
      <c r="H166" s="116"/>
      <c r="I166" s="116"/>
      <c r="J166" s="116"/>
      <c r="K166" s="116"/>
      <c r="L166" s="115"/>
      <c r="M166" s="115"/>
    </row>
    <row r="167" spans="1:15" s="1" customFormat="1" ht="31.2" x14ac:dyDescent="0.6">
      <c r="A167" s="115"/>
      <c r="B167" s="120"/>
      <c r="C167" s="118" t="s">
        <v>280</v>
      </c>
      <c r="D167" s="124"/>
      <c r="E167" s="124"/>
      <c r="F167" s="124"/>
      <c r="G167" s="124"/>
      <c r="H167" s="124"/>
      <c r="I167" s="124"/>
      <c r="J167" s="124"/>
      <c r="K167" s="124"/>
      <c r="L167" s="120"/>
      <c r="M167" s="115"/>
    </row>
    <row r="168" spans="1:15" s="1" customFormat="1" ht="25.5" customHeight="1" outlineLevel="1" x14ac:dyDescent="0.85">
      <c r="A168" s="115"/>
      <c r="B168" s="37"/>
      <c r="C168" s="125"/>
      <c r="D168" s="121"/>
      <c r="E168" s="121"/>
      <c r="F168" s="121"/>
      <c r="G168" s="121"/>
      <c r="H168" s="121"/>
      <c r="I168" s="121"/>
      <c r="J168" s="121"/>
      <c r="K168" s="121"/>
      <c r="L168" s="37"/>
      <c r="M168" s="115"/>
    </row>
    <row r="169" spans="1:15" s="1" customFormat="1" ht="25.8" outlineLevel="1" x14ac:dyDescent="0.5">
      <c r="A169" s="115"/>
      <c r="B169" s="37"/>
      <c r="C169" s="127" t="s">
        <v>145</v>
      </c>
      <c r="D169" s="121"/>
      <c r="E169" s="121"/>
      <c r="F169" s="121"/>
      <c r="G169" s="130" t="s">
        <v>289</v>
      </c>
      <c r="H169" s="121"/>
      <c r="I169" s="121"/>
      <c r="J169" s="121"/>
      <c r="K169" s="121"/>
      <c r="L169" s="37"/>
      <c r="M169" s="115"/>
    </row>
    <row r="170" spans="1:15" s="1" customFormat="1" ht="18" outlineLevel="1" x14ac:dyDescent="0.35">
      <c r="A170" s="115"/>
      <c r="B170" s="37"/>
      <c r="C170" s="37"/>
      <c r="D170" s="128"/>
      <c r="E170" s="129"/>
      <c r="F170" s="129"/>
      <c r="G170" s="48" t="s">
        <v>288</v>
      </c>
      <c r="H170" s="48" t="s">
        <v>290</v>
      </c>
      <c r="I170" s="129"/>
      <c r="J170" s="129"/>
      <c r="K170" s="129"/>
      <c r="L170" s="37"/>
      <c r="M170" s="115"/>
    </row>
    <row r="171" spans="1:15" s="1" customFormat="1" ht="18" outlineLevel="1" x14ac:dyDescent="0.35">
      <c r="A171" s="115"/>
      <c r="B171" s="37"/>
      <c r="C171" s="37"/>
      <c r="D171" s="49"/>
      <c r="E171" s="129"/>
      <c r="F171" s="131" t="s">
        <v>38</v>
      </c>
      <c r="G171" s="42">
        <v>0</v>
      </c>
      <c r="H171" s="36">
        <v>0</v>
      </c>
      <c r="I171" s="129"/>
      <c r="J171" s="129"/>
      <c r="K171" s="129"/>
      <c r="L171" s="37"/>
      <c r="M171" s="115"/>
    </row>
    <row r="172" spans="1:15" s="1" customFormat="1" ht="18" outlineLevel="1" x14ac:dyDescent="0.35">
      <c r="A172" s="115"/>
      <c r="B172" s="37"/>
      <c r="C172" s="37"/>
      <c r="D172" s="49"/>
      <c r="E172" s="37"/>
      <c r="F172" s="131"/>
      <c r="G172" s="42">
        <v>16.666666666666668</v>
      </c>
      <c r="H172" s="36">
        <v>0</v>
      </c>
      <c r="I172" s="37"/>
      <c r="J172" s="37"/>
      <c r="K172" s="37"/>
      <c r="L172" s="37"/>
      <c r="M172" s="115"/>
    </row>
    <row r="173" spans="1:15" s="1" customFormat="1" ht="18" outlineLevel="1" x14ac:dyDescent="0.35">
      <c r="A173" s="115"/>
      <c r="B173" s="37"/>
      <c r="C173" s="37"/>
      <c r="D173" s="49"/>
      <c r="E173" s="37"/>
      <c r="F173" s="131"/>
      <c r="G173" s="42">
        <v>33.333333333333336</v>
      </c>
      <c r="H173" s="36">
        <v>0</v>
      </c>
      <c r="I173" s="37"/>
      <c r="J173" s="37"/>
      <c r="K173" s="37"/>
      <c r="L173" s="37"/>
      <c r="M173" s="115"/>
    </row>
    <row r="174" spans="1:15" s="1" customFormat="1" ht="18" outlineLevel="1" x14ac:dyDescent="0.35">
      <c r="A174" s="115"/>
      <c r="B174" s="37"/>
      <c r="C174" s="37"/>
      <c r="D174" s="49"/>
      <c r="E174" s="37"/>
      <c r="F174" s="131" t="s">
        <v>39</v>
      </c>
      <c r="G174" s="42">
        <v>50</v>
      </c>
      <c r="H174" s="36">
        <v>0</v>
      </c>
      <c r="I174" s="37"/>
      <c r="J174" s="37"/>
      <c r="K174" s="37"/>
      <c r="L174" s="37"/>
      <c r="M174" s="115"/>
    </row>
    <row r="175" spans="1:15" s="1" customFormat="1" ht="18" outlineLevel="1" x14ac:dyDescent="0.35">
      <c r="A175" s="115"/>
      <c r="B175" s="37"/>
      <c r="C175" s="37"/>
      <c r="D175" s="49"/>
      <c r="E175" s="37"/>
      <c r="F175" s="131"/>
      <c r="G175" s="42">
        <v>66.666666666666671</v>
      </c>
      <c r="H175" s="36">
        <v>0</v>
      </c>
      <c r="I175" s="37"/>
      <c r="J175" s="37"/>
      <c r="K175" s="37"/>
      <c r="L175" s="37"/>
      <c r="M175" s="115"/>
    </row>
    <row r="176" spans="1:15" s="1" customFormat="1" ht="18" outlineLevel="1" x14ac:dyDescent="0.35">
      <c r="A176" s="115"/>
      <c r="B176" s="37"/>
      <c r="C176" s="37"/>
      <c r="D176" s="49"/>
      <c r="E176" s="37"/>
      <c r="F176" s="131"/>
      <c r="G176" s="42">
        <v>83.333333333333343</v>
      </c>
      <c r="H176" s="36">
        <v>0</v>
      </c>
      <c r="I176" s="37"/>
      <c r="J176" s="37"/>
      <c r="K176" s="37"/>
      <c r="L176" s="37"/>
      <c r="M176" s="115"/>
    </row>
    <row r="177" spans="1:13" s="1" customFormat="1" ht="18" outlineLevel="1" x14ac:dyDescent="0.35">
      <c r="A177" s="115"/>
      <c r="B177" s="37"/>
      <c r="C177" s="37"/>
      <c r="D177" s="49"/>
      <c r="E177" s="37"/>
      <c r="F177" s="131" t="s">
        <v>40</v>
      </c>
      <c r="G177" s="42">
        <v>100.00000000000001</v>
      </c>
      <c r="H177" s="36">
        <v>0</v>
      </c>
      <c r="I177" s="37"/>
      <c r="J177" s="37"/>
      <c r="K177" s="37"/>
      <c r="L177" s="37"/>
      <c r="M177" s="115"/>
    </row>
    <row r="178" spans="1:13" s="1" customFormat="1" outlineLevel="1" x14ac:dyDescent="0.3">
      <c r="A178" s="115"/>
      <c r="B178" s="37"/>
      <c r="C178" s="37"/>
      <c r="D178" s="49"/>
      <c r="E178" s="37"/>
      <c r="F178" s="37"/>
      <c r="G178" s="37"/>
      <c r="H178" s="37"/>
      <c r="I178" s="37"/>
      <c r="J178" s="37"/>
      <c r="K178" s="37"/>
      <c r="L178" s="37"/>
      <c r="M178" s="115"/>
    </row>
    <row r="179" spans="1:13" s="1" customFormat="1" ht="25.8" outlineLevel="1" x14ac:dyDescent="0.5">
      <c r="A179" s="115"/>
      <c r="B179" s="37"/>
      <c r="C179" s="127" t="s">
        <v>146</v>
      </c>
      <c r="D179" s="49"/>
      <c r="E179" s="49"/>
      <c r="F179" s="43"/>
      <c r="G179" s="49"/>
      <c r="H179" s="37"/>
      <c r="I179" s="37"/>
      <c r="J179" s="37"/>
      <c r="K179" s="37"/>
      <c r="L179" s="37"/>
      <c r="M179" s="115"/>
    </row>
    <row r="180" spans="1:13" s="1" customFormat="1" ht="18" outlineLevel="1" x14ac:dyDescent="0.35">
      <c r="A180" s="115"/>
      <c r="B180" s="37"/>
      <c r="C180" s="37"/>
      <c r="D180" s="37"/>
      <c r="E180" s="37"/>
      <c r="F180" s="50"/>
      <c r="G180" s="50"/>
      <c r="H180" s="51"/>
      <c r="I180" s="129"/>
      <c r="J180" s="129"/>
      <c r="K180" s="129"/>
      <c r="L180" s="37"/>
      <c r="M180" s="115"/>
    </row>
    <row r="181" spans="1:13" s="1" customFormat="1" ht="18" outlineLevel="1" x14ac:dyDescent="0.35">
      <c r="A181" s="115"/>
      <c r="B181" s="37"/>
      <c r="C181" s="37"/>
      <c r="D181" s="37"/>
      <c r="E181" s="37"/>
      <c r="F181" s="129"/>
      <c r="G181" s="48" t="s">
        <v>288</v>
      </c>
      <c r="H181" s="48" t="s">
        <v>290</v>
      </c>
      <c r="I181" s="129"/>
      <c r="J181" s="129"/>
      <c r="K181" s="129"/>
      <c r="L181" s="37"/>
      <c r="M181" s="115"/>
    </row>
    <row r="182" spans="1:13" s="1" customFormat="1" ht="18" outlineLevel="1" x14ac:dyDescent="0.35">
      <c r="A182" s="115"/>
      <c r="B182" s="37"/>
      <c r="C182" s="37"/>
      <c r="D182" s="37"/>
      <c r="E182" s="37"/>
      <c r="F182" s="131" t="s">
        <v>38</v>
      </c>
      <c r="G182" s="42">
        <v>0</v>
      </c>
      <c r="H182" s="36">
        <v>0</v>
      </c>
      <c r="I182" s="129"/>
      <c r="J182" s="37"/>
      <c r="K182" s="37"/>
      <c r="L182" s="37"/>
      <c r="M182" s="115"/>
    </row>
    <row r="183" spans="1:13" s="1" customFormat="1" ht="18" outlineLevel="1" x14ac:dyDescent="0.35">
      <c r="A183" s="115"/>
      <c r="B183" s="37"/>
      <c r="C183" s="37"/>
      <c r="D183" s="37"/>
      <c r="E183" s="37"/>
      <c r="F183" s="131"/>
      <c r="G183" s="42">
        <v>16.666666666666668</v>
      </c>
      <c r="H183" s="36">
        <v>0</v>
      </c>
      <c r="I183" s="37"/>
      <c r="J183" s="37"/>
      <c r="K183" s="37"/>
      <c r="L183" s="37"/>
      <c r="M183" s="115"/>
    </row>
    <row r="184" spans="1:13" s="1" customFormat="1" ht="18" outlineLevel="1" x14ac:dyDescent="0.35">
      <c r="A184" s="115"/>
      <c r="B184" s="37"/>
      <c r="C184" s="37"/>
      <c r="D184" s="37"/>
      <c r="E184" s="37"/>
      <c r="F184" s="131"/>
      <c r="G184" s="42">
        <v>33.333333333333336</v>
      </c>
      <c r="H184" s="36">
        <v>0</v>
      </c>
      <c r="I184" s="37"/>
      <c r="J184" s="37"/>
      <c r="K184" s="37"/>
      <c r="L184" s="37"/>
      <c r="M184" s="115"/>
    </row>
    <row r="185" spans="1:13" s="1" customFormat="1" ht="18" outlineLevel="1" x14ac:dyDescent="0.35">
      <c r="A185" s="115"/>
      <c r="B185" s="37"/>
      <c r="C185" s="37"/>
      <c r="D185" s="37"/>
      <c r="E185" s="37"/>
      <c r="F185" s="131" t="s">
        <v>39</v>
      </c>
      <c r="G185" s="42">
        <v>50</v>
      </c>
      <c r="H185" s="36">
        <v>0</v>
      </c>
      <c r="I185" s="37"/>
      <c r="J185" s="37"/>
      <c r="K185" s="37"/>
      <c r="L185" s="37"/>
      <c r="M185" s="115"/>
    </row>
    <row r="186" spans="1:13" s="1" customFormat="1" ht="18" outlineLevel="1" x14ac:dyDescent="0.35">
      <c r="A186" s="115"/>
      <c r="B186" s="37"/>
      <c r="C186" s="37"/>
      <c r="D186" s="37"/>
      <c r="E186" s="37"/>
      <c r="F186" s="131"/>
      <c r="G186" s="42">
        <v>66.666666666666671</v>
      </c>
      <c r="H186" s="36">
        <v>0</v>
      </c>
      <c r="I186" s="37"/>
      <c r="J186" s="37"/>
      <c r="K186" s="37"/>
      <c r="L186" s="37"/>
      <c r="M186" s="115"/>
    </row>
    <row r="187" spans="1:13" s="1" customFormat="1" ht="18" outlineLevel="1" x14ac:dyDescent="0.35">
      <c r="A187" s="115"/>
      <c r="B187" s="37"/>
      <c r="C187" s="37"/>
      <c r="D187" s="37"/>
      <c r="E187" s="37"/>
      <c r="F187" s="131"/>
      <c r="G187" s="42">
        <v>83.333333333333343</v>
      </c>
      <c r="H187" s="36">
        <v>0</v>
      </c>
      <c r="I187" s="37"/>
      <c r="J187" s="37"/>
      <c r="K187" s="37"/>
      <c r="L187" s="37"/>
      <c r="M187" s="115"/>
    </row>
    <row r="188" spans="1:13" s="1" customFormat="1" ht="18" outlineLevel="1" x14ac:dyDescent="0.35">
      <c r="A188" s="115"/>
      <c r="B188" s="37"/>
      <c r="C188" s="37"/>
      <c r="D188" s="37"/>
      <c r="E188" s="37"/>
      <c r="F188" s="131" t="s">
        <v>40</v>
      </c>
      <c r="G188" s="42">
        <v>100.00000000000001</v>
      </c>
      <c r="H188" s="36">
        <v>0</v>
      </c>
      <c r="I188" s="37"/>
      <c r="J188" s="37"/>
      <c r="K188" s="37"/>
      <c r="L188" s="37"/>
      <c r="M188" s="115"/>
    </row>
    <row r="189" spans="1:13" s="1" customFormat="1" outlineLevel="1" x14ac:dyDescent="0.3">
      <c r="A189" s="115"/>
      <c r="B189" s="37"/>
      <c r="C189" s="37"/>
      <c r="D189" s="37"/>
      <c r="E189" s="37"/>
      <c r="F189" s="37"/>
      <c r="G189" s="37"/>
      <c r="H189" s="37"/>
      <c r="I189" s="37"/>
      <c r="J189" s="37"/>
      <c r="K189" s="37"/>
      <c r="L189" s="37"/>
      <c r="M189" s="115"/>
    </row>
    <row r="190" spans="1:13" s="1" customFormat="1" ht="25.8" outlineLevel="1" x14ac:dyDescent="0.5">
      <c r="A190" s="115"/>
      <c r="B190" s="37"/>
      <c r="C190" s="127" t="s">
        <v>147</v>
      </c>
      <c r="D190" s="37"/>
      <c r="E190" s="37"/>
      <c r="F190" s="51"/>
      <c r="G190" s="51"/>
      <c r="H190" s="51"/>
      <c r="I190" s="37"/>
      <c r="J190" s="37"/>
      <c r="K190" s="37"/>
      <c r="L190" s="37"/>
      <c r="M190" s="115"/>
    </row>
    <row r="191" spans="1:13" s="1" customFormat="1" ht="18" outlineLevel="1" x14ac:dyDescent="0.35">
      <c r="A191" s="115"/>
      <c r="B191" s="37"/>
      <c r="C191" s="37"/>
      <c r="D191" s="37"/>
      <c r="E191" s="37"/>
      <c r="F191" s="50"/>
      <c r="G191" s="50"/>
      <c r="H191" s="51"/>
      <c r="I191" s="129"/>
      <c r="J191" s="129"/>
      <c r="K191" s="129"/>
      <c r="L191" s="37"/>
      <c r="M191" s="115"/>
    </row>
    <row r="192" spans="1:13" s="1" customFormat="1" ht="18" outlineLevel="1" x14ac:dyDescent="0.35">
      <c r="A192" s="115"/>
      <c r="B192" s="37"/>
      <c r="C192" s="37"/>
      <c r="D192" s="37"/>
      <c r="E192" s="37"/>
      <c r="F192" s="129"/>
      <c r="G192" s="48" t="s">
        <v>288</v>
      </c>
      <c r="H192" s="48" t="s">
        <v>290</v>
      </c>
      <c r="I192" s="129"/>
      <c r="J192" s="129"/>
      <c r="K192" s="129"/>
      <c r="L192" s="37"/>
      <c r="M192" s="115"/>
    </row>
    <row r="193" spans="1:13" s="1" customFormat="1" ht="18" outlineLevel="1" x14ac:dyDescent="0.35">
      <c r="A193" s="115"/>
      <c r="B193" s="37"/>
      <c r="C193" s="37"/>
      <c r="D193" s="37"/>
      <c r="E193" s="37"/>
      <c r="F193" s="131" t="s">
        <v>38</v>
      </c>
      <c r="G193" s="42">
        <v>0</v>
      </c>
      <c r="H193" s="36">
        <v>0</v>
      </c>
      <c r="I193" s="129"/>
      <c r="J193" s="37"/>
      <c r="K193" s="37"/>
      <c r="L193" s="37"/>
      <c r="M193" s="115"/>
    </row>
    <row r="194" spans="1:13" s="1" customFormat="1" ht="18" outlineLevel="1" x14ac:dyDescent="0.35">
      <c r="A194" s="115"/>
      <c r="B194" s="37"/>
      <c r="C194" s="37"/>
      <c r="D194" s="37"/>
      <c r="E194" s="37"/>
      <c r="F194" s="131"/>
      <c r="G194" s="42">
        <v>16.666666666666668</v>
      </c>
      <c r="H194" s="36">
        <v>0</v>
      </c>
      <c r="I194" s="37"/>
      <c r="J194" s="37"/>
      <c r="K194" s="37"/>
      <c r="L194" s="37"/>
      <c r="M194" s="115"/>
    </row>
    <row r="195" spans="1:13" s="1" customFormat="1" ht="18" outlineLevel="1" x14ac:dyDescent="0.35">
      <c r="A195" s="115"/>
      <c r="B195" s="37"/>
      <c r="C195" s="37"/>
      <c r="D195" s="37"/>
      <c r="E195" s="37"/>
      <c r="F195" s="131"/>
      <c r="G195" s="42">
        <v>33.333333333333336</v>
      </c>
      <c r="H195" s="36">
        <v>0</v>
      </c>
      <c r="I195" s="37"/>
      <c r="J195" s="37"/>
      <c r="K195" s="37"/>
      <c r="L195" s="37"/>
      <c r="M195" s="115"/>
    </row>
    <row r="196" spans="1:13" s="1" customFormat="1" ht="18" outlineLevel="1" x14ac:dyDescent="0.35">
      <c r="A196" s="115"/>
      <c r="B196" s="37"/>
      <c r="C196" s="37"/>
      <c r="D196" s="37"/>
      <c r="E196" s="37"/>
      <c r="F196" s="131" t="s">
        <v>39</v>
      </c>
      <c r="G196" s="42">
        <v>50</v>
      </c>
      <c r="H196" s="36">
        <v>0</v>
      </c>
      <c r="I196" s="37"/>
      <c r="J196" s="37"/>
      <c r="K196" s="37"/>
      <c r="L196" s="37"/>
      <c r="M196" s="115"/>
    </row>
    <row r="197" spans="1:13" s="1" customFormat="1" ht="18" outlineLevel="1" x14ac:dyDescent="0.35">
      <c r="A197" s="115"/>
      <c r="B197" s="37"/>
      <c r="C197" s="37"/>
      <c r="D197" s="37"/>
      <c r="E197" s="37"/>
      <c r="F197" s="131"/>
      <c r="G197" s="42">
        <v>66.666666666666671</v>
      </c>
      <c r="H197" s="36">
        <v>0</v>
      </c>
      <c r="I197" s="37"/>
      <c r="J197" s="37"/>
      <c r="K197" s="37"/>
      <c r="L197" s="37"/>
      <c r="M197" s="115"/>
    </row>
    <row r="198" spans="1:13" s="1" customFormat="1" ht="18" outlineLevel="1" x14ac:dyDescent="0.35">
      <c r="A198" s="115"/>
      <c r="B198" s="37"/>
      <c r="C198" s="37"/>
      <c r="D198" s="37"/>
      <c r="E198" s="37"/>
      <c r="F198" s="131"/>
      <c r="G198" s="42">
        <v>83.333333333333343</v>
      </c>
      <c r="H198" s="36">
        <v>0</v>
      </c>
      <c r="I198" s="37"/>
      <c r="J198" s="37"/>
      <c r="K198" s="37"/>
      <c r="L198" s="37"/>
      <c r="M198" s="115"/>
    </row>
    <row r="199" spans="1:13" s="1" customFormat="1" ht="18" outlineLevel="1" x14ac:dyDescent="0.35">
      <c r="A199" s="115"/>
      <c r="B199" s="37"/>
      <c r="C199" s="37"/>
      <c r="D199" s="37"/>
      <c r="E199" s="37"/>
      <c r="F199" s="131" t="s">
        <v>40</v>
      </c>
      <c r="G199" s="42">
        <v>100.00000000000001</v>
      </c>
      <c r="H199" s="36">
        <v>0</v>
      </c>
      <c r="I199" s="37"/>
      <c r="J199" s="37"/>
      <c r="K199" s="37"/>
      <c r="L199" s="37"/>
      <c r="M199" s="115"/>
    </row>
    <row r="200" spans="1:13" s="1" customFormat="1" outlineLevel="1" x14ac:dyDescent="0.3">
      <c r="A200" s="115"/>
      <c r="B200" s="37"/>
      <c r="C200" s="37"/>
      <c r="D200" s="37"/>
      <c r="E200" s="37"/>
      <c r="F200" s="37"/>
      <c r="G200" s="37"/>
      <c r="H200" s="37"/>
      <c r="I200" s="37"/>
      <c r="J200" s="37"/>
      <c r="K200" s="37"/>
      <c r="L200" s="37"/>
      <c r="M200" s="115"/>
    </row>
    <row r="201" spans="1:13" s="1" customFormat="1" ht="25.8" outlineLevel="1" x14ac:dyDescent="0.5">
      <c r="A201" s="115"/>
      <c r="B201" s="37"/>
      <c r="C201" s="127" t="s">
        <v>148</v>
      </c>
      <c r="D201" s="37"/>
      <c r="E201" s="37"/>
      <c r="F201" s="51"/>
      <c r="G201" s="51"/>
      <c r="H201" s="51"/>
      <c r="I201" s="37"/>
      <c r="J201" s="37"/>
      <c r="K201" s="37"/>
      <c r="L201" s="37"/>
      <c r="M201" s="115"/>
    </row>
    <row r="202" spans="1:13" s="1" customFormat="1" ht="18" outlineLevel="1" x14ac:dyDescent="0.35">
      <c r="A202" s="115"/>
      <c r="B202" s="37"/>
      <c r="C202" s="37"/>
      <c r="D202" s="37"/>
      <c r="E202" s="37"/>
      <c r="F202" s="50"/>
      <c r="G202" s="50"/>
      <c r="H202" s="51"/>
      <c r="I202" s="129"/>
      <c r="J202" s="37"/>
      <c r="K202" s="37"/>
      <c r="L202" s="37"/>
      <c r="M202" s="115"/>
    </row>
    <row r="203" spans="1:13" s="1" customFormat="1" ht="18" outlineLevel="1" x14ac:dyDescent="0.35">
      <c r="A203" s="115"/>
      <c r="B203" s="37"/>
      <c r="C203" s="37"/>
      <c r="D203" s="37"/>
      <c r="E203" s="37"/>
      <c r="F203" s="129"/>
      <c r="G203" s="48" t="s">
        <v>288</v>
      </c>
      <c r="H203" s="48" t="s">
        <v>290</v>
      </c>
      <c r="I203" s="129"/>
      <c r="J203" s="37"/>
      <c r="K203" s="37"/>
      <c r="L203" s="37"/>
      <c r="M203" s="115"/>
    </row>
    <row r="204" spans="1:13" s="1" customFormat="1" ht="18" outlineLevel="1" x14ac:dyDescent="0.35">
      <c r="A204" s="115"/>
      <c r="B204" s="37"/>
      <c r="C204" s="37"/>
      <c r="D204" s="37"/>
      <c r="E204" s="37"/>
      <c r="F204" s="131" t="s">
        <v>38</v>
      </c>
      <c r="G204" s="42">
        <v>0</v>
      </c>
      <c r="H204" s="36">
        <v>0</v>
      </c>
      <c r="I204" s="129"/>
      <c r="J204" s="37"/>
      <c r="K204" s="37"/>
      <c r="L204" s="37"/>
      <c r="M204" s="115"/>
    </row>
    <row r="205" spans="1:13" s="1" customFormat="1" ht="18" outlineLevel="1" x14ac:dyDescent="0.35">
      <c r="A205" s="115"/>
      <c r="B205" s="37"/>
      <c r="C205" s="37"/>
      <c r="D205" s="37"/>
      <c r="E205" s="37"/>
      <c r="F205" s="131"/>
      <c r="G205" s="42">
        <v>16.666666666666668</v>
      </c>
      <c r="H205" s="36">
        <v>0</v>
      </c>
      <c r="I205" s="37"/>
      <c r="J205" s="37"/>
      <c r="K205" s="37"/>
      <c r="L205" s="37"/>
      <c r="M205" s="115"/>
    </row>
    <row r="206" spans="1:13" s="1" customFormat="1" ht="18" outlineLevel="1" x14ac:dyDescent="0.35">
      <c r="A206" s="115"/>
      <c r="B206" s="37"/>
      <c r="C206" s="37"/>
      <c r="D206" s="37"/>
      <c r="E206" s="37"/>
      <c r="F206" s="131"/>
      <c r="G206" s="42">
        <v>33.333333333333336</v>
      </c>
      <c r="H206" s="36">
        <v>0</v>
      </c>
      <c r="I206" s="37"/>
      <c r="J206" s="37"/>
      <c r="K206" s="37"/>
      <c r="L206" s="37"/>
      <c r="M206" s="115"/>
    </row>
    <row r="207" spans="1:13" s="1" customFormat="1" ht="18" outlineLevel="1" x14ac:dyDescent="0.35">
      <c r="A207" s="115"/>
      <c r="B207" s="37"/>
      <c r="C207" s="37"/>
      <c r="D207" s="37"/>
      <c r="E207" s="37"/>
      <c r="F207" s="131" t="s">
        <v>39</v>
      </c>
      <c r="G207" s="42">
        <v>50</v>
      </c>
      <c r="H207" s="36">
        <v>0</v>
      </c>
      <c r="I207" s="37"/>
      <c r="J207" s="37"/>
      <c r="K207" s="37"/>
      <c r="L207" s="37"/>
      <c r="M207" s="115"/>
    </row>
    <row r="208" spans="1:13" s="1" customFormat="1" ht="18" outlineLevel="1" x14ac:dyDescent="0.35">
      <c r="A208" s="115"/>
      <c r="B208" s="37"/>
      <c r="C208" s="37"/>
      <c r="D208" s="37"/>
      <c r="E208" s="37"/>
      <c r="F208" s="131"/>
      <c r="G208" s="42">
        <v>66.666666666666671</v>
      </c>
      <c r="H208" s="36">
        <v>0</v>
      </c>
      <c r="I208" s="37"/>
      <c r="J208" s="37"/>
      <c r="K208" s="37"/>
      <c r="L208" s="37"/>
      <c r="M208" s="115"/>
    </row>
    <row r="209" spans="1:13" s="1" customFormat="1" ht="18" outlineLevel="1" x14ac:dyDescent="0.35">
      <c r="A209" s="115"/>
      <c r="B209" s="37"/>
      <c r="C209" s="37"/>
      <c r="D209" s="37"/>
      <c r="E209" s="37"/>
      <c r="F209" s="131"/>
      <c r="G209" s="42">
        <v>83.333333333333343</v>
      </c>
      <c r="H209" s="36">
        <v>0</v>
      </c>
      <c r="I209" s="37"/>
      <c r="J209" s="37"/>
      <c r="K209" s="37"/>
      <c r="L209" s="37"/>
      <c r="M209" s="115"/>
    </row>
    <row r="210" spans="1:13" s="1" customFormat="1" ht="18" outlineLevel="1" x14ac:dyDescent="0.35">
      <c r="A210" s="115"/>
      <c r="B210" s="37"/>
      <c r="C210" s="37"/>
      <c r="D210" s="37"/>
      <c r="E210" s="37"/>
      <c r="F210" s="131" t="s">
        <v>40</v>
      </c>
      <c r="G210" s="42">
        <v>100.00000000000001</v>
      </c>
      <c r="H210" s="36">
        <v>0</v>
      </c>
      <c r="I210" s="37"/>
      <c r="J210" s="37"/>
      <c r="K210" s="37"/>
      <c r="L210" s="37"/>
      <c r="M210" s="115"/>
    </row>
    <row r="211" spans="1:13" s="1" customFormat="1" outlineLevel="1" x14ac:dyDescent="0.3">
      <c r="A211" s="115"/>
      <c r="B211" s="37"/>
      <c r="C211" s="37"/>
      <c r="D211" s="37"/>
      <c r="E211" s="37"/>
      <c r="F211" s="37"/>
      <c r="G211" s="37"/>
      <c r="H211" s="37"/>
      <c r="I211" s="37"/>
      <c r="J211" s="37"/>
      <c r="K211" s="37"/>
      <c r="L211" s="37"/>
      <c r="M211" s="115"/>
    </row>
    <row r="212" spans="1:13" s="1" customFormat="1" ht="25.8" outlineLevel="1" x14ac:dyDescent="0.5">
      <c r="A212" s="115"/>
      <c r="B212" s="37"/>
      <c r="C212" s="127" t="s">
        <v>149</v>
      </c>
      <c r="D212" s="37"/>
      <c r="E212" s="37"/>
      <c r="F212" s="51"/>
      <c r="G212" s="51"/>
      <c r="H212" s="51"/>
      <c r="I212" s="37"/>
      <c r="J212" s="37"/>
      <c r="K212" s="37"/>
      <c r="L212" s="37"/>
      <c r="M212" s="115"/>
    </row>
    <row r="213" spans="1:13" s="1" customFormat="1" ht="18" outlineLevel="1" x14ac:dyDescent="0.35">
      <c r="A213" s="115"/>
      <c r="B213" s="37"/>
      <c r="C213" s="37"/>
      <c r="D213" s="37"/>
      <c r="E213" s="37"/>
      <c r="F213" s="129"/>
      <c r="G213" s="48" t="s">
        <v>288</v>
      </c>
      <c r="H213" s="48" t="s">
        <v>290</v>
      </c>
      <c r="I213" s="129"/>
      <c r="J213" s="37"/>
      <c r="K213" s="37"/>
      <c r="L213" s="37"/>
      <c r="M213" s="115"/>
    </row>
    <row r="214" spans="1:13" s="1" customFormat="1" ht="18" outlineLevel="1" x14ac:dyDescent="0.35">
      <c r="A214" s="115"/>
      <c r="B214" s="37"/>
      <c r="C214" s="37"/>
      <c r="D214" s="37"/>
      <c r="E214" s="37"/>
      <c r="F214" s="131" t="s">
        <v>38</v>
      </c>
      <c r="G214" s="42">
        <v>0</v>
      </c>
      <c r="H214" s="36">
        <v>0</v>
      </c>
      <c r="I214" s="129"/>
      <c r="J214" s="37"/>
      <c r="K214" s="37"/>
      <c r="L214" s="37"/>
      <c r="M214" s="115"/>
    </row>
    <row r="215" spans="1:13" s="1" customFormat="1" ht="18" outlineLevel="1" x14ac:dyDescent="0.35">
      <c r="A215" s="115"/>
      <c r="B215" s="37"/>
      <c r="C215" s="37"/>
      <c r="D215" s="37"/>
      <c r="E215" s="37"/>
      <c r="F215" s="131"/>
      <c r="G215" s="42">
        <v>16.666666666666668</v>
      </c>
      <c r="H215" s="36">
        <v>0</v>
      </c>
      <c r="I215" s="37"/>
      <c r="J215" s="37"/>
      <c r="K215" s="37"/>
      <c r="L215" s="37"/>
      <c r="M215" s="115"/>
    </row>
    <row r="216" spans="1:13" s="1" customFormat="1" ht="18" outlineLevel="1" x14ac:dyDescent="0.35">
      <c r="A216" s="115"/>
      <c r="B216" s="37"/>
      <c r="C216" s="37"/>
      <c r="D216" s="37"/>
      <c r="E216" s="37"/>
      <c r="F216" s="131"/>
      <c r="G216" s="42">
        <v>33.333333333333336</v>
      </c>
      <c r="H216" s="36">
        <v>0</v>
      </c>
      <c r="I216" s="37"/>
      <c r="J216" s="37"/>
      <c r="K216" s="37"/>
      <c r="L216" s="37"/>
      <c r="M216" s="115"/>
    </row>
    <row r="217" spans="1:13" s="1" customFormat="1" ht="18" outlineLevel="1" x14ac:dyDescent="0.35">
      <c r="A217" s="115"/>
      <c r="B217" s="37"/>
      <c r="C217" s="37"/>
      <c r="D217" s="37"/>
      <c r="E217" s="37"/>
      <c r="F217" s="131" t="s">
        <v>39</v>
      </c>
      <c r="G217" s="42">
        <v>50</v>
      </c>
      <c r="H217" s="36">
        <v>0</v>
      </c>
      <c r="I217" s="37"/>
      <c r="J217" s="37"/>
      <c r="K217" s="37"/>
      <c r="L217" s="37"/>
      <c r="M217" s="115"/>
    </row>
    <row r="218" spans="1:13" s="1" customFormat="1" ht="18" outlineLevel="1" x14ac:dyDescent="0.35">
      <c r="A218" s="115"/>
      <c r="B218" s="37"/>
      <c r="C218" s="37"/>
      <c r="D218" s="37"/>
      <c r="E218" s="37"/>
      <c r="F218" s="131"/>
      <c r="G218" s="42">
        <v>66.666666666666671</v>
      </c>
      <c r="H218" s="36">
        <v>0</v>
      </c>
      <c r="I218" s="37"/>
      <c r="J218" s="37"/>
      <c r="K218" s="37"/>
      <c r="L218" s="37"/>
      <c r="M218" s="115"/>
    </row>
    <row r="219" spans="1:13" s="1" customFormat="1" ht="18" outlineLevel="1" x14ac:dyDescent="0.35">
      <c r="A219" s="115"/>
      <c r="B219" s="37"/>
      <c r="C219" s="37"/>
      <c r="D219" s="37"/>
      <c r="E219" s="37"/>
      <c r="F219" s="131"/>
      <c r="G219" s="42">
        <v>83.333333333333343</v>
      </c>
      <c r="H219" s="36">
        <v>0</v>
      </c>
      <c r="I219" s="37"/>
      <c r="J219" s="37"/>
      <c r="K219" s="37"/>
      <c r="L219" s="37"/>
      <c r="M219" s="115"/>
    </row>
    <row r="220" spans="1:13" s="1" customFormat="1" ht="18" outlineLevel="1" x14ac:dyDescent="0.35">
      <c r="A220" s="115"/>
      <c r="B220" s="37"/>
      <c r="C220" s="37"/>
      <c r="D220" s="37"/>
      <c r="E220" s="37"/>
      <c r="F220" s="131" t="s">
        <v>40</v>
      </c>
      <c r="G220" s="42">
        <v>100.00000000000001</v>
      </c>
      <c r="H220" s="36">
        <v>0</v>
      </c>
      <c r="I220" s="37"/>
      <c r="J220" s="37"/>
      <c r="K220" s="37"/>
      <c r="L220" s="37"/>
      <c r="M220" s="115"/>
    </row>
    <row r="221" spans="1:13" s="1" customFormat="1" outlineLevel="1" x14ac:dyDescent="0.3">
      <c r="A221" s="115"/>
      <c r="B221" s="37"/>
      <c r="C221" s="37"/>
      <c r="D221" s="37"/>
      <c r="E221" s="37"/>
      <c r="F221" s="37"/>
      <c r="G221" s="37"/>
      <c r="H221" s="37"/>
      <c r="I221" s="37"/>
      <c r="J221" s="37"/>
      <c r="K221" s="37"/>
      <c r="L221" s="37"/>
      <c r="M221" s="115"/>
    </row>
    <row r="222" spans="1:13" s="1" customFormat="1" outlineLevel="1" x14ac:dyDescent="0.3">
      <c r="A222" s="115"/>
      <c r="B222" s="37"/>
      <c r="C222" s="37"/>
      <c r="D222" s="37"/>
      <c r="E222" s="37"/>
      <c r="F222" s="51"/>
      <c r="G222" s="51"/>
      <c r="H222" s="51"/>
      <c r="I222" s="37"/>
      <c r="J222" s="37"/>
      <c r="K222" s="37"/>
      <c r="L222" s="37"/>
      <c r="M222" s="115"/>
    </row>
    <row r="223" spans="1:13" ht="25.8" outlineLevel="1" x14ac:dyDescent="0.5">
      <c r="B223" s="37"/>
      <c r="C223" s="127" t="s">
        <v>150</v>
      </c>
      <c r="D223" s="37"/>
      <c r="E223" s="37"/>
      <c r="F223" s="51"/>
      <c r="G223" s="51"/>
      <c r="H223" s="51"/>
      <c r="I223" s="37"/>
      <c r="J223" s="37"/>
      <c r="K223" s="37"/>
      <c r="L223" s="37"/>
    </row>
    <row r="224" spans="1:13" ht="18" outlineLevel="1" x14ac:dyDescent="0.35">
      <c r="B224" s="37"/>
      <c r="C224" s="37"/>
      <c r="D224" s="37"/>
      <c r="E224" s="37"/>
      <c r="F224" s="129"/>
      <c r="G224" s="48" t="s">
        <v>288</v>
      </c>
      <c r="H224" s="48" t="s">
        <v>290</v>
      </c>
      <c r="I224" s="129"/>
      <c r="J224" s="37"/>
      <c r="K224" s="37"/>
      <c r="L224" s="37"/>
    </row>
    <row r="225" spans="1:13" ht="18" outlineLevel="1" x14ac:dyDescent="0.35">
      <c r="B225" s="37"/>
      <c r="C225" s="37"/>
      <c r="D225" s="37"/>
      <c r="E225" s="37"/>
      <c r="F225" s="131" t="s">
        <v>38</v>
      </c>
      <c r="G225" s="42">
        <v>0</v>
      </c>
      <c r="H225" s="36">
        <v>0</v>
      </c>
      <c r="I225" s="129"/>
      <c r="J225" s="37"/>
      <c r="K225" s="37"/>
      <c r="L225" s="37"/>
    </row>
    <row r="226" spans="1:13" ht="18" outlineLevel="1" x14ac:dyDescent="0.35">
      <c r="B226" s="37"/>
      <c r="C226" s="37"/>
      <c r="D226" s="37"/>
      <c r="E226" s="37"/>
      <c r="F226" s="131"/>
      <c r="G226" s="42">
        <v>16.666666666666668</v>
      </c>
      <c r="H226" s="36">
        <v>0</v>
      </c>
      <c r="I226" s="37"/>
      <c r="J226" s="37"/>
      <c r="K226" s="37"/>
      <c r="L226" s="37"/>
    </row>
    <row r="227" spans="1:13" ht="18" outlineLevel="1" x14ac:dyDescent="0.35">
      <c r="B227" s="37"/>
      <c r="C227" s="37"/>
      <c r="D227" s="37"/>
      <c r="E227" s="37"/>
      <c r="F227" s="131"/>
      <c r="G227" s="42">
        <v>33.333333333333336</v>
      </c>
      <c r="H227" s="36">
        <v>0</v>
      </c>
      <c r="I227" s="37"/>
      <c r="J227" s="37"/>
      <c r="K227" s="37"/>
      <c r="L227" s="37"/>
    </row>
    <row r="228" spans="1:13" ht="18" outlineLevel="1" x14ac:dyDescent="0.35">
      <c r="B228" s="37"/>
      <c r="C228" s="37"/>
      <c r="D228" s="37"/>
      <c r="E228" s="37"/>
      <c r="F228" s="131" t="s">
        <v>39</v>
      </c>
      <c r="G228" s="42">
        <v>50</v>
      </c>
      <c r="H228" s="36">
        <v>0</v>
      </c>
      <c r="I228" s="37"/>
      <c r="J228" s="37"/>
      <c r="K228" s="37"/>
      <c r="L228" s="37"/>
    </row>
    <row r="229" spans="1:13" ht="18" outlineLevel="1" x14ac:dyDescent="0.35">
      <c r="B229" s="37"/>
      <c r="C229" s="37"/>
      <c r="D229" s="37"/>
      <c r="E229" s="37"/>
      <c r="F229" s="131"/>
      <c r="G229" s="42">
        <v>66.666666666666671</v>
      </c>
      <c r="H229" s="36">
        <v>0</v>
      </c>
      <c r="I229" s="37"/>
      <c r="J229" s="37"/>
      <c r="K229" s="37"/>
      <c r="L229" s="37"/>
    </row>
    <row r="230" spans="1:13" ht="18" outlineLevel="1" x14ac:dyDescent="0.35">
      <c r="B230" s="37"/>
      <c r="C230" s="37"/>
      <c r="D230" s="37"/>
      <c r="E230" s="37"/>
      <c r="F230" s="131"/>
      <c r="G230" s="42">
        <v>83.333333333333343</v>
      </c>
      <c r="H230" s="36">
        <v>0</v>
      </c>
      <c r="I230" s="37"/>
      <c r="J230" s="37"/>
      <c r="K230" s="37"/>
      <c r="L230" s="37"/>
    </row>
    <row r="231" spans="1:13" ht="18" outlineLevel="1" x14ac:dyDescent="0.35">
      <c r="B231" s="37"/>
      <c r="C231" s="37"/>
      <c r="D231" s="37"/>
      <c r="E231" s="37"/>
      <c r="F231" s="131" t="s">
        <v>40</v>
      </c>
      <c r="G231" s="42">
        <v>100.00000000000001</v>
      </c>
      <c r="H231" s="36">
        <v>0</v>
      </c>
      <c r="I231" s="37"/>
      <c r="J231" s="37"/>
      <c r="K231" s="37"/>
      <c r="L231" s="37"/>
    </row>
    <row r="232" spans="1:13" outlineLevel="1" x14ac:dyDescent="0.3">
      <c r="B232" s="37"/>
      <c r="C232" s="37"/>
      <c r="D232" s="37"/>
      <c r="E232" s="37"/>
      <c r="F232" s="37"/>
      <c r="G232" s="37"/>
      <c r="H232" s="37"/>
      <c r="I232" s="37"/>
      <c r="J232" s="37"/>
      <c r="K232" s="37"/>
      <c r="L232" s="37"/>
    </row>
    <row r="233" spans="1:13" s="1" customFormat="1" ht="25.8" outlineLevel="1" x14ac:dyDescent="0.5">
      <c r="A233" s="115"/>
      <c r="B233" s="37"/>
      <c r="C233" s="127" t="s">
        <v>151</v>
      </c>
      <c r="D233" s="37"/>
      <c r="E233" s="37"/>
      <c r="F233" s="51"/>
      <c r="G233" s="51"/>
      <c r="H233" s="51"/>
      <c r="I233" s="37"/>
      <c r="J233" s="37"/>
      <c r="K233" s="37"/>
      <c r="L233" s="37"/>
      <c r="M233" s="115"/>
    </row>
    <row r="234" spans="1:13" s="1" customFormat="1" ht="18" outlineLevel="1" x14ac:dyDescent="0.35">
      <c r="A234" s="115"/>
      <c r="B234" s="37"/>
      <c r="C234" s="37"/>
      <c r="D234" s="37"/>
      <c r="E234" s="37"/>
      <c r="F234" s="129"/>
      <c r="G234" s="48" t="s">
        <v>288</v>
      </c>
      <c r="H234" s="48" t="s">
        <v>290</v>
      </c>
      <c r="I234" s="129"/>
      <c r="J234" s="37"/>
      <c r="K234" s="37"/>
      <c r="L234" s="37"/>
      <c r="M234" s="115"/>
    </row>
    <row r="235" spans="1:13" s="1" customFormat="1" ht="18" outlineLevel="1" x14ac:dyDescent="0.35">
      <c r="A235" s="115"/>
      <c r="B235" s="37"/>
      <c r="C235" s="37"/>
      <c r="D235" s="37"/>
      <c r="E235" s="37"/>
      <c r="F235" s="131" t="s">
        <v>38</v>
      </c>
      <c r="G235" s="42">
        <v>0</v>
      </c>
      <c r="H235" s="36">
        <v>0</v>
      </c>
      <c r="I235" s="129"/>
      <c r="J235" s="37"/>
      <c r="K235" s="37"/>
      <c r="L235" s="37"/>
      <c r="M235" s="115"/>
    </row>
    <row r="236" spans="1:13" s="1" customFormat="1" ht="18" outlineLevel="1" x14ac:dyDescent="0.35">
      <c r="A236" s="115"/>
      <c r="B236" s="37"/>
      <c r="C236" s="37"/>
      <c r="D236" s="37"/>
      <c r="E236" s="37"/>
      <c r="F236" s="131"/>
      <c r="G236" s="42">
        <v>16.666666666666668</v>
      </c>
      <c r="H236" s="36">
        <v>0</v>
      </c>
      <c r="I236" s="37"/>
      <c r="J236" s="37"/>
      <c r="K236" s="37"/>
      <c r="L236" s="37"/>
      <c r="M236" s="115"/>
    </row>
    <row r="237" spans="1:13" s="1" customFormat="1" ht="18" outlineLevel="1" x14ac:dyDescent="0.35">
      <c r="A237" s="115"/>
      <c r="B237" s="37"/>
      <c r="C237" s="37"/>
      <c r="D237" s="37"/>
      <c r="E237" s="37"/>
      <c r="F237" s="131"/>
      <c r="G237" s="42">
        <v>33.333333333333336</v>
      </c>
      <c r="H237" s="36">
        <v>0</v>
      </c>
      <c r="I237" s="37"/>
      <c r="J237" s="37"/>
      <c r="K237" s="37"/>
      <c r="L237" s="37"/>
      <c r="M237" s="115"/>
    </row>
    <row r="238" spans="1:13" s="1" customFormat="1" ht="18" outlineLevel="1" x14ac:dyDescent="0.35">
      <c r="A238" s="115"/>
      <c r="B238" s="37"/>
      <c r="C238" s="37"/>
      <c r="D238" s="37"/>
      <c r="E238" s="37"/>
      <c r="F238" s="131" t="s">
        <v>39</v>
      </c>
      <c r="G238" s="42">
        <v>50</v>
      </c>
      <c r="H238" s="36">
        <v>0</v>
      </c>
      <c r="I238" s="37"/>
      <c r="J238" s="37"/>
      <c r="K238" s="37"/>
      <c r="L238" s="37"/>
      <c r="M238" s="115"/>
    </row>
    <row r="239" spans="1:13" s="1" customFormat="1" ht="18" outlineLevel="1" x14ac:dyDescent="0.35">
      <c r="A239" s="115"/>
      <c r="B239" s="37"/>
      <c r="C239" s="37"/>
      <c r="D239" s="37"/>
      <c r="E239" s="37"/>
      <c r="F239" s="131"/>
      <c r="G239" s="42">
        <v>66.666666666666671</v>
      </c>
      <c r="H239" s="36">
        <v>0</v>
      </c>
      <c r="I239" s="37"/>
      <c r="J239" s="37"/>
      <c r="K239" s="37"/>
      <c r="L239" s="37"/>
      <c r="M239" s="115"/>
    </row>
    <row r="240" spans="1:13" s="1" customFormat="1" ht="18" outlineLevel="1" x14ac:dyDescent="0.35">
      <c r="A240" s="115"/>
      <c r="B240" s="37"/>
      <c r="C240" s="37"/>
      <c r="D240" s="37"/>
      <c r="E240" s="37"/>
      <c r="F240" s="131"/>
      <c r="G240" s="42">
        <v>83.333333333333343</v>
      </c>
      <c r="H240" s="36">
        <v>0</v>
      </c>
      <c r="I240" s="37"/>
      <c r="J240" s="37"/>
      <c r="K240" s="37"/>
      <c r="L240" s="37"/>
      <c r="M240" s="115"/>
    </row>
    <row r="241" spans="1:13" s="1" customFormat="1" ht="18" outlineLevel="1" x14ac:dyDescent="0.35">
      <c r="A241" s="115"/>
      <c r="B241" s="37"/>
      <c r="C241" s="37"/>
      <c r="D241" s="37"/>
      <c r="E241" s="37"/>
      <c r="F241" s="131" t="s">
        <v>40</v>
      </c>
      <c r="G241" s="42">
        <v>100.00000000000001</v>
      </c>
      <c r="H241" s="36">
        <v>0</v>
      </c>
      <c r="I241" s="37"/>
      <c r="J241" s="37"/>
      <c r="K241" s="37"/>
      <c r="L241" s="37"/>
      <c r="M241" s="115"/>
    </row>
    <row r="242" spans="1:13" s="1" customFormat="1" outlineLevel="1" x14ac:dyDescent="0.3">
      <c r="A242" s="115"/>
      <c r="B242" s="37"/>
      <c r="C242" s="37"/>
      <c r="D242" s="37"/>
      <c r="E242" s="37"/>
      <c r="F242" s="37"/>
      <c r="G242" s="37"/>
      <c r="H242" s="37"/>
      <c r="I242" s="37"/>
      <c r="J242" s="37"/>
      <c r="K242" s="37"/>
      <c r="L242" s="37"/>
      <c r="M242" s="115"/>
    </row>
    <row r="243" spans="1:13" s="1" customFormat="1" outlineLevel="1" x14ac:dyDescent="0.3">
      <c r="A243" s="115"/>
      <c r="B243" s="37"/>
      <c r="C243" s="37"/>
      <c r="D243" s="37"/>
      <c r="E243" s="37"/>
      <c r="F243" s="51"/>
      <c r="G243" s="51"/>
      <c r="H243" s="51"/>
      <c r="I243" s="37"/>
      <c r="J243" s="37"/>
      <c r="K243" s="37"/>
      <c r="L243" s="37"/>
      <c r="M243" s="115"/>
    </row>
    <row r="244" spans="1:13" ht="25.8" outlineLevel="1" x14ac:dyDescent="0.5">
      <c r="B244" s="37"/>
      <c r="C244" s="127" t="s">
        <v>152</v>
      </c>
      <c r="D244" s="37"/>
      <c r="E244" s="37"/>
      <c r="F244" s="51"/>
      <c r="G244" s="51"/>
      <c r="H244" s="51"/>
      <c r="I244" s="37"/>
      <c r="J244" s="37"/>
      <c r="K244" s="37"/>
      <c r="L244" s="37"/>
    </row>
    <row r="245" spans="1:13" ht="18" outlineLevel="1" x14ac:dyDescent="0.35">
      <c r="B245" s="37"/>
      <c r="C245" s="37"/>
      <c r="D245" s="37"/>
      <c r="E245" s="37"/>
      <c r="F245" s="129"/>
      <c r="G245" s="48" t="s">
        <v>288</v>
      </c>
      <c r="H245" s="48" t="s">
        <v>290</v>
      </c>
      <c r="I245" s="129"/>
      <c r="J245" s="37"/>
      <c r="K245" s="37"/>
      <c r="L245" s="37"/>
    </row>
    <row r="246" spans="1:13" ht="18" outlineLevel="1" x14ac:dyDescent="0.35">
      <c r="B246" s="37"/>
      <c r="C246" s="37"/>
      <c r="D246" s="37"/>
      <c r="E246" s="37"/>
      <c r="F246" s="131" t="s">
        <v>38</v>
      </c>
      <c r="G246" s="42">
        <v>0</v>
      </c>
      <c r="H246" s="36">
        <v>-100</v>
      </c>
      <c r="I246" s="129"/>
      <c r="J246" s="37"/>
      <c r="K246" s="37"/>
      <c r="L246" s="37"/>
    </row>
    <row r="247" spans="1:13" ht="18" outlineLevel="1" x14ac:dyDescent="0.35">
      <c r="B247" s="37"/>
      <c r="C247" s="37"/>
      <c r="D247" s="37"/>
      <c r="E247" s="37"/>
      <c r="F247" s="131"/>
      <c r="G247" s="42">
        <v>16.666666666666668</v>
      </c>
      <c r="H247" s="36">
        <v>-67</v>
      </c>
      <c r="I247" s="37"/>
      <c r="J247" s="37"/>
      <c r="K247" s="37"/>
      <c r="L247" s="37"/>
    </row>
    <row r="248" spans="1:13" ht="18" outlineLevel="1" x14ac:dyDescent="0.35">
      <c r="B248" s="37"/>
      <c r="C248" s="37"/>
      <c r="D248" s="37"/>
      <c r="E248" s="37"/>
      <c r="F248" s="131"/>
      <c r="G248" s="42">
        <v>33.333333333333336</v>
      </c>
      <c r="H248" s="36">
        <v>-33</v>
      </c>
      <c r="I248" s="37"/>
      <c r="J248" s="37"/>
      <c r="K248" s="37"/>
      <c r="L248" s="37"/>
    </row>
    <row r="249" spans="1:13" ht="18" outlineLevel="1" x14ac:dyDescent="0.35">
      <c r="B249" s="37"/>
      <c r="C249" s="37"/>
      <c r="D249" s="37"/>
      <c r="E249" s="37"/>
      <c r="F249" s="131" t="s">
        <v>39</v>
      </c>
      <c r="G249" s="42">
        <v>50</v>
      </c>
      <c r="H249" s="36">
        <v>0</v>
      </c>
      <c r="I249" s="37"/>
      <c r="J249" s="37"/>
      <c r="K249" s="37"/>
      <c r="L249" s="37"/>
    </row>
    <row r="250" spans="1:13" ht="18" outlineLevel="1" x14ac:dyDescent="0.35">
      <c r="B250" s="37"/>
      <c r="C250" s="37"/>
      <c r="D250" s="37"/>
      <c r="E250" s="37"/>
      <c r="F250" s="131"/>
      <c r="G250" s="42">
        <v>66.666666666666671</v>
      </c>
      <c r="H250" s="36">
        <v>33</v>
      </c>
      <c r="I250" s="37"/>
      <c r="J250" s="37"/>
      <c r="K250" s="37"/>
      <c r="L250" s="37"/>
    </row>
    <row r="251" spans="1:13" ht="18" outlineLevel="1" x14ac:dyDescent="0.35">
      <c r="B251" s="37"/>
      <c r="C251" s="37"/>
      <c r="D251" s="37"/>
      <c r="E251" s="37"/>
      <c r="F251" s="131"/>
      <c r="G251" s="42">
        <v>83.333333333333343</v>
      </c>
      <c r="H251" s="36">
        <v>67</v>
      </c>
      <c r="I251" s="37"/>
      <c r="J251" s="37"/>
      <c r="K251" s="37"/>
      <c r="L251" s="37"/>
    </row>
    <row r="252" spans="1:13" ht="18" outlineLevel="1" x14ac:dyDescent="0.35">
      <c r="B252" s="37"/>
      <c r="C252" s="37"/>
      <c r="D252" s="37"/>
      <c r="E252" s="37"/>
      <c r="F252" s="131" t="s">
        <v>40</v>
      </c>
      <c r="G252" s="42">
        <v>100.00000000000001</v>
      </c>
      <c r="H252" s="36">
        <v>100</v>
      </c>
      <c r="I252" s="37"/>
      <c r="J252" s="37"/>
      <c r="K252" s="37"/>
      <c r="L252" s="37"/>
    </row>
    <row r="253" spans="1:13" outlineLevel="1" x14ac:dyDescent="0.3">
      <c r="B253" s="37"/>
      <c r="C253" s="37"/>
      <c r="D253" s="37"/>
      <c r="E253" s="37"/>
      <c r="F253" s="37"/>
      <c r="G253" s="37"/>
      <c r="H253" s="37"/>
      <c r="I253" s="37"/>
      <c r="J253" s="37"/>
      <c r="K253" s="37"/>
      <c r="L253" s="37"/>
    </row>
    <row r="254" spans="1:13" outlineLevel="1" x14ac:dyDescent="0.3">
      <c r="B254" s="37"/>
      <c r="C254" s="37"/>
      <c r="D254" s="37"/>
      <c r="E254" s="37"/>
      <c r="F254" s="37"/>
      <c r="G254" s="37"/>
      <c r="H254" s="37"/>
      <c r="I254" s="37"/>
      <c r="J254" s="37"/>
      <c r="K254" s="37"/>
      <c r="L254" s="37"/>
    </row>
    <row r="255" spans="1:13" s="1" customFormat="1" x14ac:dyDescent="0.3">
      <c r="A255" s="115"/>
      <c r="B255" s="115"/>
      <c r="C255" s="115"/>
      <c r="D255" s="116"/>
      <c r="E255" s="116"/>
      <c r="F255" s="116"/>
      <c r="G255" s="116"/>
      <c r="H255" s="116"/>
      <c r="I255" s="116"/>
      <c r="J255" s="116"/>
      <c r="K255" s="116"/>
      <c r="L255" s="115"/>
      <c r="M255" s="115"/>
    </row>
    <row r="256" spans="1:13" s="1" customFormat="1" ht="31.2" x14ac:dyDescent="0.6">
      <c r="A256" s="115"/>
      <c r="B256" s="120"/>
      <c r="C256" s="118" t="s">
        <v>281</v>
      </c>
      <c r="D256" s="124"/>
      <c r="E256" s="124"/>
      <c r="F256" s="124"/>
      <c r="G256" s="124"/>
      <c r="H256" s="124"/>
      <c r="I256" s="124"/>
      <c r="J256" s="124"/>
      <c r="K256" s="124"/>
      <c r="L256" s="120"/>
      <c r="M256" s="115"/>
    </row>
    <row r="257" spans="1:15" s="1" customFormat="1" ht="20.25" customHeight="1" outlineLevel="1" x14ac:dyDescent="0.85">
      <c r="A257" s="115"/>
      <c r="B257" s="37"/>
      <c r="C257" s="125"/>
      <c r="D257" s="121"/>
      <c r="E257" s="121"/>
      <c r="F257" s="121"/>
      <c r="G257" s="121"/>
      <c r="H257" s="121"/>
      <c r="I257" s="121"/>
      <c r="J257" s="121"/>
      <c r="K257" s="121"/>
      <c r="L257" s="37"/>
      <c r="M257" s="115"/>
    </row>
    <row r="258" spans="1:15" ht="23.4" outlineLevel="1" x14ac:dyDescent="0.45">
      <c r="B258" s="37"/>
      <c r="C258" s="45" t="s">
        <v>230</v>
      </c>
      <c r="D258" s="46" t="s">
        <v>145</v>
      </c>
      <c r="E258" s="46" t="s">
        <v>146</v>
      </c>
      <c r="F258" s="46" t="s">
        <v>147</v>
      </c>
      <c r="G258" s="46" t="s">
        <v>148</v>
      </c>
      <c r="H258" s="46" t="s">
        <v>149</v>
      </c>
      <c r="I258" s="46" t="s">
        <v>150</v>
      </c>
      <c r="J258" s="46" t="s">
        <v>151</v>
      </c>
      <c r="K258" s="46" t="s">
        <v>152</v>
      </c>
      <c r="L258" s="37"/>
      <c r="N258" s="24"/>
      <c r="O258" s="24"/>
    </row>
    <row r="259" spans="1:15" outlineLevel="1" x14ac:dyDescent="0.3">
      <c r="B259" s="37"/>
      <c r="C259" s="35" t="s">
        <v>283</v>
      </c>
      <c r="D259" s="36" t="s">
        <v>284</v>
      </c>
      <c r="E259" s="36" t="s">
        <v>284</v>
      </c>
      <c r="F259" s="36" t="s">
        <v>284</v>
      </c>
      <c r="G259" s="36" t="s">
        <v>284</v>
      </c>
      <c r="H259" s="36" t="s">
        <v>284</v>
      </c>
      <c r="I259" s="36" t="s">
        <v>284</v>
      </c>
      <c r="J259" s="36" t="s">
        <v>284</v>
      </c>
      <c r="K259" s="36" t="s">
        <v>284</v>
      </c>
      <c r="L259" s="37"/>
      <c r="N259" s="24"/>
      <c r="O259" s="24"/>
    </row>
    <row r="260" spans="1:15" outlineLevel="1" x14ac:dyDescent="0.3">
      <c r="B260" s="37"/>
      <c r="C260" s="37"/>
      <c r="D260" s="37"/>
      <c r="E260" s="37"/>
      <c r="F260" s="37"/>
      <c r="G260" s="37"/>
      <c r="H260" s="37"/>
      <c r="I260" s="37"/>
      <c r="J260" s="37"/>
      <c r="K260" s="37"/>
      <c r="L260" s="37"/>
    </row>
    <row r="261" spans="1:15" outlineLevel="1" x14ac:dyDescent="0.3">
      <c r="B261" s="37"/>
      <c r="C261" s="37"/>
      <c r="D261" s="37"/>
      <c r="E261" s="37"/>
      <c r="F261" s="37"/>
      <c r="G261" s="37"/>
      <c r="H261" s="37"/>
      <c r="I261" s="37"/>
      <c r="J261" s="37"/>
      <c r="K261" s="37"/>
      <c r="L261" s="37"/>
    </row>
    <row r="262" spans="1:15" s="1" customFormat="1" x14ac:dyDescent="0.3">
      <c r="A262" s="115"/>
      <c r="B262" s="115"/>
      <c r="C262" s="115"/>
      <c r="D262" s="116"/>
      <c r="E262" s="116"/>
      <c r="F262" s="116"/>
      <c r="G262" s="116"/>
      <c r="H262" s="116"/>
      <c r="I262" s="116"/>
      <c r="J262" s="116"/>
      <c r="K262" s="116"/>
      <c r="L262" s="115"/>
      <c r="M262" s="115"/>
    </row>
    <row r="263" spans="1:15" s="1" customFormat="1" ht="31.2" x14ac:dyDescent="0.6">
      <c r="A263" s="115"/>
      <c r="B263" s="120"/>
      <c r="C263" s="118" t="s">
        <v>282</v>
      </c>
      <c r="D263" s="124"/>
      <c r="E263" s="124"/>
      <c r="F263" s="124"/>
      <c r="G263" s="124"/>
      <c r="H263" s="124"/>
      <c r="I263" s="124"/>
      <c r="J263" s="124"/>
      <c r="K263" s="124"/>
      <c r="L263" s="120"/>
      <c r="M263" s="115"/>
    </row>
    <row r="264" spans="1:15" s="1" customFormat="1" ht="20.25" customHeight="1" outlineLevel="1" x14ac:dyDescent="0.85">
      <c r="A264" s="115"/>
      <c r="B264" s="37"/>
      <c r="C264" s="125"/>
      <c r="D264" s="121"/>
      <c r="E264" s="121"/>
      <c r="F264" s="121"/>
      <c r="G264" s="121"/>
      <c r="H264" s="121"/>
      <c r="I264" s="121"/>
      <c r="J264" s="121"/>
      <c r="K264" s="121"/>
      <c r="L264" s="37"/>
      <c r="M264" s="115"/>
    </row>
    <row r="265" spans="1:15" ht="23.4" outlineLevel="1" x14ac:dyDescent="0.45">
      <c r="B265" s="37"/>
      <c r="C265" s="45" t="s">
        <v>283</v>
      </c>
      <c r="D265" s="46" t="s">
        <v>145</v>
      </c>
      <c r="E265" s="46" t="s">
        <v>146</v>
      </c>
      <c r="F265" s="46" t="s">
        <v>147</v>
      </c>
      <c r="G265" s="46" t="s">
        <v>148</v>
      </c>
      <c r="H265" s="46" t="s">
        <v>149</v>
      </c>
      <c r="I265" s="46" t="s">
        <v>150</v>
      </c>
      <c r="J265" s="46" t="s">
        <v>151</v>
      </c>
      <c r="K265" s="46" t="s">
        <v>152</v>
      </c>
      <c r="L265" s="37"/>
      <c r="N265" s="24"/>
      <c r="O265" s="24"/>
    </row>
    <row r="266" spans="1:15" outlineLevel="1" x14ac:dyDescent="0.3">
      <c r="B266" s="37"/>
      <c r="C266" s="35" t="s">
        <v>286</v>
      </c>
      <c r="D266" s="36">
        <v>-100</v>
      </c>
      <c r="E266" s="36">
        <v>-100</v>
      </c>
      <c r="F266" s="36">
        <v>-100</v>
      </c>
      <c r="G266" s="36">
        <v>-100</v>
      </c>
      <c r="H266" s="36">
        <v>-100</v>
      </c>
      <c r="I266" s="36">
        <v>-100</v>
      </c>
      <c r="J266" s="36">
        <v>-100</v>
      </c>
      <c r="K266" s="36">
        <v>-100</v>
      </c>
      <c r="L266" s="37"/>
      <c r="N266" s="24"/>
      <c r="O266" s="24"/>
    </row>
    <row r="267" spans="1:15" outlineLevel="1" x14ac:dyDescent="0.3">
      <c r="B267" s="37"/>
      <c r="C267" s="35" t="s">
        <v>287</v>
      </c>
      <c r="D267" s="36">
        <v>100</v>
      </c>
      <c r="E267" s="36">
        <v>100</v>
      </c>
      <c r="F267" s="36">
        <v>100</v>
      </c>
      <c r="G267" s="36">
        <v>100</v>
      </c>
      <c r="H267" s="36">
        <v>100</v>
      </c>
      <c r="I267" s="36">
        <v>100</v>
      </c>
      <c r="J267" s="36">
        <v>100</v>
      </c>
      <c r="K267" s="36">
        <v>100</v>
      </c>
      <c r="L267" s="37"/>
      <c r="N267" s="24"/>
      <c r="O267" s="24"/>
    </row>
    <row r="268" spans="1:15" outlineLevel="1" x14ac:dyDescent="0.3">
      <c r="B268" s="37"/>
      <c r="C268" s="37"/>
      <c r="D268" s="37"/>
      <c r="E268" s="37"/>
      <c r="F268" s="37"/>
      <c r="G268" s="37"/>
      <c r="H268" s="37"/>
      <c r="I268" s="37"/>
      <c r="J268" s="37"/>
      <c r="K268" s="37"/>
      <c r="L268" s="37"/>
    </row>
    <row r="269" spans="1:15" outlineLevel="1" x14ac:dyDescent="0.3">
      <c r="B269" s="37"/>
      <c r="C269" s="37"/>
      <c r="D269" s="37"/>
      <c r="E269" s="37"/>
      <c r="F269" s="37"/>
      <c r="G269" s="37"/>
      <c r="H269" s="37"/>
      <c r="I269" s="37"/>
      <c r="J269" s="37"/>
      <c r="K269" s="37"/>
      <c r="L269" s="37"/>
    </row>
    <row r="270" spans="1:15" s="1" customFormat="1" x14ac:dyDescent="0.3">
      <c r="A270" s="115"/>
      <c r="B270" s="115"/>
      <c r="C270" s="115"/>
      <c r="D270" s="116"/>
      <c r="E270" s="116"/>
      <c r="F270" s="116"/>
      <c r="G270" s="116"/>
      <c r="H270" s="116"/>
      <c r="I270" s="116"/>
      <c r="J270" s="116"/>
      <c r="K270" s="116"/>
      <c r="L270" s="115"/>
      <c r="M270" s="115"/>
    </row>
    <row r="271" spans="1:15" s="1" customFormat="1" x14ac:dyDescent="0.3">
      <c r="A271" s="115"/>
      <c r="B271" s="115"/>
      <c r="C271" s="115"/>
      <c r="D271" s="116"/>
      <c r="E271" s="116"/>
      <c r="F271" s="116"/>
      <c r="G271" s="116"/>
      <c r="H271" s="116"/>
      <c r="I271" s="116"/>
      <c r="J271" s="116"/>
      <c r="K271" s="116"/>
      <c r="L271" s="115"/>
      <c r="M271" s="115"/>
    </row>
    <row r="272" spans="1:15" s="1" customFormat="1" x14ac:dyDescent="0.3">
      <c r="A272" s="115"/>
      <c r="B272" s="115"/>
      <c r="C272" s="115"/>
      <c r="D272" s="116"/>
      <c r="E272" s="116"/>
      <c r="F272" s="116"/>
      <c r="G272" s="116"/>
      <c r="H272" s="116"/>
      <c r="I272" s="116"/>
      <c r="J272" s="116"/>
      <c r="K272" s="116"/>
      <c r="L272" s="115"/>
      <c r="M272" s="115"/>
    </row>
    <row r="273" spans="1:13" s="1" customFormat="1" x14ac:dyDescent="0.3">
      <c r="A273" s="115"/>
      <c r="B273" s="115"/>
      <c r="C273" s="115"/>
      <c r="D273" s="116"/>
      <c r="E273" s="116"/>
      <c r="F273" s="116"/>
      <c r="G273" s="116"/>
      <c r="H273" s="116"/>
      <c r="I273" s="116"/>
      <c r="J273" s="116"/>
      <c r="K273" s="116"/>
      <c r="L273" s="115"/>
      <c r="M273" s="115"/>
    </row>
    <row r="274" spans="1:13" s="1" customFormat="1" x14ac:dyDescent="0.3">
      <c r="A274" s="115"/>
      <c r="B274" s="115"/>
      <c r="C274" s="115"/>
      <c r="D274" s="116"/>
      <c r="E274" s="116"/>
      <c r="F274" s="116"/>
      <c r="G274" s="116"/>
      <c r="H274" s="116"/>
      <c r="I274" s="116"/>
      <c r="J274" s="116"/>
      <c r="K274" s="116"/>
      <c r="L274" s="115"/>
      <c r="M274" s="115"/>
    </row>
    <row r="275" spans="1:13" s="1" customFormat="1" x14ac:dyDescent="0.3">
      <c r="A275" s="115"/>
      <c r="B275" s="115"/>
      <c r="C275" s="115"/>
      <c r="D275" s="116"/>
      <c r="E275" s="116"/>
      <c r="F275" s="116"/>
      <c r="G275" s="116"/>
      <c r="H275" s="116"/>
      <c r="I275" s="116"/>
      <c r="J275" s="116"/>
      <c r="K275" s="116"/>
      <c r="L275" s="115"/>
      <c r="M275" s="115"/>
    </row>
    <row r="276" spans="1:13" s="1" customFormat="1" x14ac:dyDescent="0.3">
      <c r="A276" s="115"/>
      <c r="B276" s="115"/>
      <c r="C276" s="115"/>
      <c r="D276" s="116"/>
      <c r="E276" s="116"/>
      <c r="F276" s="116"/>
      <c r="G276" s="116"/>
      <c r="H276" s="116"/>
      <c r="I276" s="116"/>
      <c r="J276" s="116"/>
      <c r="K276" s="116"/>
      <c r="L276" s="115"/>
      <c r="M276" s="115"/>
    </row>
    <row r="277" spans="1:13" s="1" customFormat="1" x14ac:dyDescent="0.3">
      <c r="A277" s="115"/>
      <c r="B277" s="115"/>
      <c r="C277" s="115"/>
      <c r="D277" s="116"/>
      <c r="E277" s="116"/>
      <c r="F277" s="116"/>
      <c r="G277" s="116"/>
      <c r="H277" s="116"/>
      <c r="I277" s="116"/>
      <c r="J277" s="116"/>
      <c r="K277" s="116"/>
      <c r="L277" s="115"/>
      <c r="M277" s="115"/>
    </row>
    <row r="278" spans="1:13" s="1" customFormat="1" x14ac:dyDescent="0.3">
      <c r="A278" s="115"/>
      <c r="B278" s="115"/>
      <c r="C278" s="115"/>
      <c r="D278" s="116"/>
      <c r="E278" s="116"/>
      <c r="F278" s="116"/>
      <c r="G278" s="116"/>
      <c r="H278" s="116"/>
      <c r="I278" s="116"/>
      <c r="J278" s="116"/>
      <c r="K278" s="116"/>
      <c r="L278" s="115"/>
      <c r="M278" s="115"/>
    </row>
    <row r="279" spans="1:13" s="1" customFormat="1" x14ac:dyDescent="0.3">
      <c r="A279" s="115"/>
      <c r="B279" s="115"/>
      <c r="C279" s="115"/>
      <c r="D279" s="116"/>
      <c r="E279" s="116"/>
      <c r="F279" s="116"/>
      <c r="G279" s="116"/>
      <c r="H279" s="116"/>
      <c r="I279" s="116"/>
      <c r="J279" s="116"/>
      <c r="K279" s="116"/>
      <c r="L279" s="115"/>
      <c r="M279" s="115"/>
    </row>
    <row r="280" spans="1:13" s="1" customFormat="1" x14ac:dyDescent="0.3">
      <c r="A280" s="115"/>
      <c r="B280" s="115"/>
      <c r="C280" s="115"/>
      <c r="D280" s="116"/>
      <c r="E280" s="116"/>
      <c r="F280" s="116"/>
      <c r="G280" s="116"/>
      <c r="H280" s="116"/>
      <c r="I280" s="116"/>
      <c r="J280" s="116"/>
      <c r="K280" s="116"/>
      <c r="L280" s="115"/>
      <c r="M280" s="115"/>
    </row>
    <row r="281" spans="1:13" s="1" customFormat="1" x14ac:dyDescent="0.3">
      <c r="A281" s="115"/>
      <c r="B281" s="115"/>
      <c r="C281" s="115"/>
      <c r="D281" s="116"/>
      <c r="E281" s="116"/>
      <c r="F281" s="116"/>
      <c r="G281" s="116"/>
      <c r="H281" s="116"/>
      <c r="I281" s="116"/>
      <c r="J281" s="116"/>
      <c r="K281" s="116"/>
      <c r="L281" s="115"/>
      <c r="M281" s="115"/>
    </row>
    <row r="282" spans="1:13" s="1" customFormat="1" x14ac:dyDescent="0.3">
      <c r="A282" s="115"/>
      <c r="B282" s="115"/>
      <c r="C282" s="115"/>
      <c r="D282" s="116"/>
      <c r="E282" s="116"/>
      <c r="F282" s="116"/>
      <c r="G282" s="116"/>
      <c r="H282" s="116"/>
      <c r="I282" s="116"/>
      <c r="J282" s="116"/>
      <c r="K282" s="116"/>
      <c r="L282" s="115"/>
      <c r="M282" s="115"/>
    </row>
  </sheetData>
  <sheetProtection selectLockedCells="1"/>
  <dataValidations count="14">
    <dataValidation type="whole" allowBlank="1" showInputMessage="1" showErrorMessage="1" sqref="D30" xr:uid="{00000000-0002-0000-0100-000000000000}">
      <formula1>1</formula1>
      <formula2>99</formula2>
    </dataValidation>
    <dataValidation type="whole" allowBlank="1" showInputMessage="1" showErrorMessage="1" sqref="D31" xr:uid="{00000000-0002-0000-0100-000001000000}">
      <formula1>1</formula1>
      <formula2>100</formula2>
    </dataValidation>
    <dataValidation type="whole" allowBlank="1" showInputMessage="1" showErrorMessage="1" sqref="D29" xr:uid="{00000000-0002-0000-0100-000002000000}">
      <formula1>0</formula1>
      <formula2>99</formula2>
    </dataValidation>
    <dataValidation type="whole" allowBlank="1" showInputMessage="1" showErrorMessage="1" sqref="D27:D28" xr:uid="{00000000-0002-0000-0100-000003000000}">
      <formula1>0</formula1>
      <formula2>40</formula2>
    </dataValidation>
    <dataValidation type="whole" allowBlank="1" showInputMessage="1" showErrorMessage="1" sqref="D33 D9 D43:E44 D47:E47 D49:E50 D53:E53 D55:E56 D60:E62" xr:uid="{00000000-0002-0000-0100-000004000000}">
      <formula1>0</formula1>
      <formula2>127</formula2>
    </dataValidation>
    <dataValidation type="whole" allowBlank="1" showInputMessage="1" showErrorMessage="1" sqref="D7" xr:uid="{00000000-0002-0000-0100-000005000000}">
      <formula1>26</formula1>
      <formula2>50</formula2>
    </dataValidation>
    <dataValidation type="whole" allowBlank="1" showInputMessage="1" showErrorMessage="1" sqref="D14" xr:uid="{00000000-0002-0000-0100-000006000000}">
      <formula1>2</formula1>
      <formula2>11</formula2>
    </dataValidation>
    <dataValidation type="whole" allowBlank="1" showInputMessage="1" showErrorMessage="1" sqref="D45:E45 D51:E51 D57:E57 D136:K137 D267:K267" xr:uid="{00000000-0002-0000-0100-000007000000}">
      <formula1>0</formula1>
      <formula2>125</formula2>
    </dataValidation>
    <dataValidation type="whole" allowBlank="1" showInputMessage="1" showErrorMessage="1" sqref="D46:E46 D52:E52 D58:E58" xr:uid="{00000000-0002-0000-0100-000008000000}">
      <formula1>0</formula1>
      <formula2>7</formula2>
    </dataValidation>
    <dataValidation type="whole" allowBlank="1" showInputMessage="1" showErrorMessage="1" sqref="D48:E48 D54:E54 D59:E59" xr:uid="{00000000-0002-0000-0100-000009000000}">
      <formula1>-127</formula1>
      <formula2>127</formula2>
    </dataValidation>
    <dataValidation type="whole" allowBlank="1" showInputMessage="1" showErrorMessage="1" sqref="G69:G75 G79:G85" xr:uid="{00000000-0002-0000-0100-00000A000000}">
      <formula1>0</formula1>
      <formula2>100</formula2>
    </dataValidation>
    <dataValidation type="whole" allowBlank="1" showInputMessage="1" showErrorMessage="1" sqref="G90:G96 G101:G107 G113:G119 G123:G129" xr:uid="{00000000-0002-0000-0100-00000B000000}">
      <formula1>-100</formula1>
      <formula2>100</formula2>
    </dataValidation>
    <dataValidation type="whole" allowBlank="1" showInputMessage="1" showErrorMessage="1" sqref="D139:K144 D162:K162 D160:K160 D158:K158 D164:K164 H182:H188 H246:H252 H171:H177 H193:H199 H204:H210 H214:H220 H225:H231 H235:H241" xr:uid="{00000000-0002-0000-0100-00000C000000}">
      <formula1>-125</formula1>
      <formula2>125</formula2>
    </dataValidation>
    <dataValidation type="whole" allowBlank="1" showInputMessage="1" showErrorMessage="1" sqref="D266:K266" xr:uid="{00000000-0002-0000-0100-00000D000000}">
      <formula1>-125</formula1>
      <formula2>0</formula2>
    </dataValidation>
  </dataValidations>
  <pageMargins left="0.25" right="0.25" top="0.75" bottom="0.75" header="0.3" footer="0.3"/>
  <pageSetup paperSize="9" scale="65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0">
        <x14:dataValidation type="list" allowBlank="1" showInputMessage="1" showErrorMessage="1" xr:uid="{00000000-0002-0000-0100-00000E000000}">
          <x14:formula1>
            <xm:f>Data_lists!$B$2:$B$9</xm:f>
          </x14:formula1>
          <xm:sqref>E25:K25</xm:sqref>
        </x14:dataValidation>
        <x14:dataValidation type="list" allowBlank="1" showInputMessage="1" showErrorMessage="1" xr:uid="{00000000-0002-0000-0100-00000F000000}">
          <x14:formula1>
            <xm:f>Data_lists!$C$2:$C$9</xm:f>
          </x14:formula1>
          <xm:sqref>D26 D36:K36</xm:sqref>
        </x14:dataValidation>
        <x14:dataValidation type="list" allowBlank="1" showInputMessage="1" showErrorMessage="1" xr:uid="{00000000-0002-0000-0100-000010000000}">
          <x14:formula1>
            <xm:f>Data_lists!$F$2:$F$8</xm:f>
          </x14:formula1>
          <xm:sqref>D22</xm:sqref>
        </x14:dataValidation>
        <x14:dataValidation type="list" allowBlank="1" showInputMessage="1" showErrorMessage="1" xr:uid="{00000000-0002-0000-0100-000011000000}">
          <x14:formula1>
            <xm:f>Data_lists!$I$2:$I$4</xm:f>
          </x14:formula1>
          <xm:sqref>D23</xm:sqref>
        </x14:dataValidation>
        <x14:dataValidation type="list" allowBlank="1" showInputMessage="1" showErrorMessage="1" xr:uid="{00000000-0002-0000-0100-000012000000}">
          <x14:formula1>
            <xm:f>Data_lists!$O$2:$O$5</xm:f>
          </x14:formula1>
          <xm:sqref>D25</xm:sqref>
        </x14:dataValidation>
        <x14:dataValidation type="list" allowBlank="1" showInputMessage="1" showErrorMessage="1" xr:uid="{00000000-0002-0000-0100-000013000000}">
          <x14:formula1>
            <xm:f>Data_lists!$L$2:$L$3</xm:f>
          </x14:formula1>
          <xm:sqref>D32 D16</xm:sqref>
        </x14:dataValidation>
        <x14:dataValidation type="list" allowBlank="1" showInputMessage="1" showErrorMessage="1" xr:uid="{00000000-0002-0000-0100-000014000000}">
          <x14:formula1>
            <xm:f>Data_lists!$C$23:$C$46</xm:f>
          </x14:formula1>
          <xm:sqref>D5</xm:sqref>
        </x14:dataValidation>
        <x14:dataValidation type="list" allowBlank="1" showInputMessage="1" showErrorMessage="1" xr:uid="{00000000-0002-0000-0100-000015000000}">
          <x14:formula1>
            <xm:f>Data_lists!$F$23:$F$25</xm:f>
          </x14:formula1>
          <xm:sqref>D6</xm:sqref>
        </x14:dataValidation>
        <x14:dataValidation type="list" allowBlank="1" showInputMessage="1" showErrorMessage="1" xr:uid="{00000000-0002-0000-0100-000016000000}">
          <x14:formula1>
            <xm:f>Data_lists!$F$28:$F$29</xm:f>
          </x14:formula1>
          <xm:sqref>D8</xm:sqref>
        </x14:dataValidation>
        <x14:dataValidation type="list" allowBlank="1" showInputMessage="1" showErrorMessage="1" xr:uid="{00000000-0002-0000-0100-000017000000}">
          <x14:formula1>
            <xm:f>Data_lists!$F$32:$F$40</xm:f>
          </x14:formula1>
          <xm:sqref>D10</xm:sqref>
        </x14:dataValidation>
        <x14:dataValidation type="list" allowBlank="1" showInputMessage="1" showErrorMessage="1" xr:uid="{00000000-0002-0000-0100-000018000000}">
          <x14:formula1>
            <xm:f>Data_lists!$I$23:$I$29</xm:f>
          </x14:formula1>
          <xm:sqref>D11</xm:sqref>
        </x14:dataValidation>
        <x14:dataValidation type="list" allowBlank="1" showInputMessage="1" showErrorMessage="1" xr:uid="{00000000-0002-0000-0100-000019000000}">
          <x14:formula1>
            <xm:f>Data_lists!$I$23:$I$30</xm:f>
          </x14:formula1>
          <xm:sqref>D12:D13</xm:sqref>
        </x14:dataValidation>
        <x14:dataValidation type="list" allowBlank="1" showInputMessage="1" showErrorMessage="1" xr:uid="{00000000-0002-0000-0100-00001A000000}">
          <x14:formula1>
            <xm:f>Data_lists!$I$33:$I$37</xm:f>
          </x14:formula1>
          <xm:sqref>D15</xm:sqref>
        </x14:dataValidation>
        <x14:dataValidation type="list" allowBlank="1" showInputMessage="1" showErrorMessage="1" xr:uid="{00000000-0002-0000-0100-00001B000000}">
          <x14:formula1>
            <xm:f>Data_lists!$L$27:$L$43</xm:f>
          </x14:formula1>
          <xm:sqref>K127 K117</xm:sqref>
        </x14:dataValidation>
        <x14:dataValidation type="list" allowBlank="1" showInputMessage="1" showErrorMessage="1" xr:uid="{00000000-0002-0000-0100-00001C000000}">
          <x14:formula1>
            <xm:f>Data_lists!$F$10:$F$12</xm:f>
          </x14:formula1>
          <xm:sqref>D135:K135</xm:sqref>
        </x14:dataValidation>
        <x14:dataValidation type="list" allowBlank="1" showInputMessage="1" showErrorMessage="1" xr:uid="{00000000-0002-0000-0100-00001D000000}">
          <x14:formula1>
            <xm:f>Data_lists!$I$10:$I$12</xm:f>
          </x14:formula1>
          <xm:sqref>D138:K138</xm:sqref>
        </x14:dataValidation>
        <x14:dataValidation type="list" allowBlank="1" showInputMessage="1" showErrorMessage="1" xr:uid="{00000000-0002-0000-0100-00001E000000}">
          <x14:formula1>
            <xm:f>Data_lists!$L$24:$L$43</xm:f>
          </x14:formula1>
          <xm:sqref>D163:K163 D161:K161 D159:K159 D157:K157</xm:sqref>
        </x14:dataValidation>
        <x14:dataValidation type="list" allowBlank="1" showInputMessage="1" showErrorMessage="1" xr:uid="{00000000-0002-0000-0100-00001F000000}">
          <x14:formula1>
            <xm:f>Data_lists!$L$10:$L$11</xm:f>
          </x14:formula1>
          <xm:sqref>D259:K259</xm:sqref>
        </x14:dataValidation>
        <x14:dataValidation type="list" allowBlank="1" showInputMessage="1" showErrorMessage="1" xr:uid="{00000000-0002-0000-0100-000020000000}">
          <x14:formula1>
            <xm:f>Data_lists!$L$2:$L$4</xm:f>
          </x14:formula1>
          <xm:sqref>D145:K156</xm:sqref>
        </x14:dataValidation>
        <x14:dataValidation type="list" allowBlank="1" showInputMessage="1" showErrorMessage="1" xr:uid="{00000000-0002-0000-0100-000022000000}">
          <x14:formula1>
            <xm:f>Data_lists!$C$2:$C$6</xm:f>
          </x14:formula1>
          <xm:sqref>D24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R46"/>
  <sheetViews>
    <sheetView topLeftCell="B1" workbookViewId="0">
      <selection activeCell="B1" sqref="B1"/>
    </sheetView>
  </sheetViews>
  <sheetFormatPr defaultColWidth="9.109375" defaultRowHeight="14.4" x14ac:dyDescent="0.3"/>
  <cols>
    <col min="1" max="1" width="9.109375" style="16"/>
    <col min="2" max="3" width="13.109375" style="16" customWidth="1"/>
    <col min="4" max="5" width="9.109375" style="16"/>
    <col min="6" max="6" width="11.44140625" style="16" bestFit="1" customWidth="1"/>
    <col min="7" max="7" width="11.6640625" style="16" customWidth="1"/>
    <col min="8" max="11" width="9.109375" style="16"/>
    <col min="12" max="12" width="12.33203125" style="16" customWidth="1"/>
    <col min="13" max="16384" width="9.109375" style="16"/>
  </cols>
  <sheetData>
    <row r="1" spans="2:18" x14ac:dyDescent="0.3">
      <c r="C1" s="16" t="s">
        <v>15</v>
      </c>
      <c r="F1" s="16" t="s">
        <v>24</v>
      </c>
      <c r="I1" s="16" t="s">
        <v>10</v>
      </c>
      <c r="L1" s="16" t="s">
        <v>28</v>
      </c>
      <c r="O1" s="16" t="s">
        <v>32</v>
      </c>
      <c r="R1" s="16" t="s">
        <v>464</v>
      </c>
    </row>
    <row r="2" spans="2:18" x14ac:dyDescent="0.3">
      <c r="B2" s="16">
        <v>0</v>
      </c>
      <c r="C2" s="16" t="s">
        <v>16</v>
      </c>
      <c r="D2" s="16">
        <v>0</v>
      </c>
      <c r="E2" s="16">
        <v>0</v>
      </c>
      <c r="F2" s="16" t="s">
        <v>25</v>
      </c>
      <c r="G2" s="16">
        <v>0</v>
      </c>
      <c r="H2" s="16">
        <v>0</v>
      </c>
      <c r="I2" s="16" t="s">
        <v>403</v>
      </c>
      <c r="J2" s="16">
        <v>0</v>
      </c>
      <c r="K2" s="16">
        <v>0</v>
      </c>
      <c r="L2" s="16" t="s">
        <v>29</v>
      </c>
      <c r="M2" s="16">
        <v>0</v>
      </c>
      <c r="N2" s="16">
        <v>0</v>
      </c>
      <c r="O2" s="16" t="s">
        <v>404</v>
      </c>
      <c r="P2" s="16">
        <v>0</v>
      </c>
      <c r="R2" s="16" t="s">
        <v>465</v>
      </c>
    </row>
    <row r="3" spans="2:18" x14ac:dyDescent="0.3">
      <c r="B3" s="16">
        <v>1</v>
      </c>
      <c r="C3" s="16" t="s">
        <v>17</v>
      </c>
      <c r="D3" s="16">
        <v>1</v>
      </c>
      <c r="E3" s="16">
        <v>1</v>
      </c>
      <c r="F3" s="16" t="s">
        <v>26</v>
      </c>
      <c r="G3" s="16">
        <v>1</v>
      </c>
      <c r="H3" s="16">
        <v>1</v>
      </c>
      <c r="I3" s="16" t="s">
        <v>401</v>
      </c>
      <c r="J3" s="16">
        <v>1</v>
      </c>
      <c r="K3" s="16">
        <v>1</v>
      </c>
      <c r="L3" s="16" t="s">
        <v>30</v>
      </c>
      <c r="M3" s="16">
        <v>1</v>
      </c>
      <c r="N3" s="16">
        <v>1</v>
      </c>
      <c r="O3" s="16" t="s">
        <v>406</v>
      </c>
      <c r="P3" s="16">
        <v>1</v>
      </c>
      <c r="R3" s="16" t="s">
        <v>447</v>
      </c>
    </row>
    <row r="4" spans="2:18" x14ac:dyDescent="0.3">
      <c r="B4" s="16">
        <v>2</v>
      </c>
      <c r="C4" s="16" t="s">
        <v>18</v>
      </c>
      <c r="D4" s="16">
        <v>2</v>
      </c>
      <c r="E4" s="16">
        <v>2</v>
      </c>
      <c r="F4" s="16" t="s">
        <v>398</v>
      </c>
      <c r="G4" s="16">
        <v>2</v>
      </c>
      <c r="H4" s="16">
        <v>2</v>
      </c>
      <c r="I4" s="16" t="s">
        <v>402</v>
      </c>
      <c r="J4" s="16">
        <v>2</v>
      </c>
      <c r="K4" s="16">
        <v>2</v>
      </c>
      <c r="L4" s="16" t="s">
        <v>316</v>
      </c>
      <c r="M4" s="16">
        <v>2</v>
      </c>
      <c r="N4" s="16">
        <v>2</v>
      </c>
      <c r="O4" s="16" t="s">
        <v>405</v>
      </c>
      <c r="P4" s="16">
        <v>2</v>
      </c>
      <c r="R4" s="16" t="s">
        <v>448</v>
      </c>
    </row>
    <row r="5" spans="2:18" x14ac:dyDescent="0.3">
      <c r="B5" s="16">
        <v>3</v>
      </c>
      <c r="C5" s="16" t="s">
        <v>19</v>
      </c>
      <c r="D5" s="16">
        <v>3</v>
      </c>
      <c r="E5" s="16">
        <v>3</v>
      </c>
      <c r="F5" s="16" t="s">
        <v>397</v>
      </c>
      <c r="G5" s="16">
        <v>3</v>
      </c>
      <c r="N5" s="16">
        <v>3</v>
      </c>
      <c r="O5" s="16" t="s">
        <v>407</v>
      </c>
      <c r="P5" s="16">
        <v>3</v>
      </c>
      <c r="R5" s="16" t="s">
        <v>449</v>
      </c>
    </row>
    <row r="6" spans="2:18" x14ac:dyDescent="0.3">
      <c r="B6" s="16">
        <v>4</v>
      </c>
      <c r="C6" s="16" t="s">
        <v>20</v>
      </c>
      <c r="D6" s="16">
        <v>4</v>
      </c>
      <c r="E6" s="16">
        <v>4</v>
      </c>
      <c r="F6" s="16" t="s">
        <v>399</v>
      </c>
      <c r="G6" s="16">
        <v>4</v>
      </c>
      <c r="R6" s="16" t="s">
        <v>450</v>
      </c>
    </row>
    <row r="7" spans="2:18" x14ac:dyDescent="0.3">
      <c r="B7" s="16">
        <v>5</v>
      </c>
      <c r="C7" s="16" t="s">
        <v>21</v>
      </c>
      <c r="D7" s="16">
        <v>5</v>
      </c>
      <c r="E7" s="16">
        <v>5</v>
      </c>
      <c r="F7" s="16" t="s">
        <v>396</v>
      </c>
      <c r="G7" s="16">
        <v>5</v>
      </c>
      <c r="R7" s="16" t="s">
        <v>451</v>
      </c>
    </row>
    <row r="8" spans="2:18" x14ac:dyDescent="0.3">
      <c r="B8" s="16">
        <v>6</v>
      </c>
      <c r="C8" s="16" t="s">
        <v>22</v>
      </c>
      <c r="D8" s="16">
        <v>6</v>
      </c>
      <c r="E8" s="16">
        <v>6</v>
      </c>
      <c r="F8" s="16" t="s">
        <v>463</v>
      </c>
      <c r="G8" s="16">
        <v>6</v>
      </c>
      <c r="R8" s="16" t="s">
        <v>452</v>
      </c>
    </row>
    <row r="9" spans="2:18" x14ac:dyDescent="0.3">
      <c r="B9" s="16">
        <v>7</v>
      </c>
      <c r="C9" s="16" t="s">
        <v>23</v>
      </c>
      <c r="D9" s="16">
        <v>7</v>
      </c>
      <c r="F9" s="16" t="s">
        <v>263</v>
      </c>
      <c r="I9" s="16" t="s">
        <v>267</v>
      </c>
      <c r="L9" s="16" t="s">
        <v>283</v>
      </c>
      <c r="R9" s="16" t="s">
        <v>453</v>
      </c>
    </row>
    <row r="10" spans="2:18" x14ac:dyDescent="0.3">
      <c r="E10" s="16">
        <v>0</v>
      </c>
      <c r="F10" s="16" t="s">
        <v>264</v>
      </c>
      <c r="G10" s="16">
        <v>0</v>
      </c>
      <c r="H10" s="16">
        <v>0</v>
      </c>
      <c r="I10" s="16" t="s">
        <v>268</v>
      </c>
      <c r="J10" s="16">
        <v>0</v>
      </c>
      <c r="K10" s="16">
        <v>0</v>
      </c>
      <c r="L10" s="16" t="s">
        <v>284</v>
      </c>
      <c r="M10" s="16">
        <v>0</v>
      </c>
      <c r="R10" s="16" t="s">
        <v>454</v>
      </c>
    </row>
    <row r="11" spans="2:18" x14ac:dyDescent="0.3">
      <c r="E11" s="16">
        <v>1</v>
      </c>
      <c r="F11" s="16" t="s">
        <v>265</v>
      </c>
      <c r="G11" s="16">
        <v>1</v>
      </c>
      <c r="H11" s="16">
        <v>1</v>
      </c>
      <c r="I11" s="16" t="s">
        <v>269</v>
      </c>
      <c r="J11" s="16">
        <v>1</v>
      </c>
      <c r="K11" s="16">
        <v>1</v>
      </c>
      <c r="L11" s="16" t="s">
        <v>285</v>
      </c>
      <c r="M11" s="16">
        <v>1</v>
      </c>
      <c r="R11" s="16" t="s">
        <v>455</v>
      </c>
    </row>
    <row r="12" spans="2:18" x14ac:dyDescent="0.3">
      <c r="E12" s="16">
        <v>2</v>
      </c>
      <c r="F12" s="16" t="s">
        <v>266</v>
      </c>
      <c r="G12" s="16">
        <v>2</v>
      </c>
      <c r="H12" s="16">
        <v>2</v>
      </c>
      <c r="I12" s="16" t="s">
        <v>438</v>
      </c>
      <c r="J12" s="16">
        <v>2</v>
      </c>
      <c r="R12" s="16" t="s">
        <v>456</v>
      </c>
    </row>
    <row r="13" spans="2:18" x14ac:dyDescent="0.3">
      <c r="R13" s="16" t="s">
        <v>457</v>
      </c>
    </row>
    <row r="14" spans="2:18" x14ac:dyDescent="0.3">
      <c r="R14" s="16" t="s">
        <v>458</v>
      </c>
    </row>
    <row r="15" spans="2:18" x14ac:dyDescent="0.3">
      <c r="C15" s="16" t="s">
        <v>180</v>
      </c>
      <c r="R15" s="16" t="s">
        <v>459</v>
      </c>
    </row>
    <row r="16" spans="2:18" x14ac:dyDescent="0.3">
      <c r="B16" s="16" t="s">
        <v>181</v>
      </c>
      <c r="C16" s="20" t="s">
        <v>185</v>
      </c>
      <c r="R16" s="16" t="s">
        <v>460</v>
      </c>
    </row>
    <row r="17" spans="2:18" x14ac:dyDescent="0.3">
      <c r="B17" s="16" t="s">
        <v>186</v>
      </c>
      <c r="C17" s="20" t="s">
        <v>182</v>
      </c>
      <c r="R17" s="16" t="s">
        <v>461</v>
      </c>
    </row>
    <row r="18" spans="2:18" x14ac:dyDescent="0.3">
      <c r="B18" s="16" t="s">
        <v>184</v>
      </c>
      <c r="C18" s="20" t="s">
        <v>183</v>
      </c>
      <c r="R18" s="16" t="s">
        <v>462</v>
      </c>
    </row>
    <row r="19" spans="2:18" x14ac:dyDescent="0.3">
      <c r="C19" s="20"/>
    </row>
    <row r="20" spans="2:18" x14ac:dyDescent="0.3">
      <c r="N20" s="23"/>
      <c r="O20" s="23"/>
      <c r="P20" s="23"/>
      <c r="Q20" s="23"/>
    </row>
    <row r="21" spans="2:18" x14ac:dyDescent="0.3">
      <c r="N21" s="23"/>
      <c r="O21" s="23"/>
      <c r="P21" s="23"/>
      <c r="Q21" s="23"/>
    </row>
    <row r="22" spans="2:18" x14ac:dyDescent="0.3">
      <c r="C22" s="16" t="s">
        <v>78</v>
      </c>
      <c r="F22" s="16" t="s">
        <v>79</v>
      </c>
      <c r="I22" s="16" t="s">
        <v>211</v>
      </c>
      <c r="L22" s="16" t="s">
        <v>229</v>
      </c>
      <c r="N22" s="23"/>
      <c r="O22" s="3"/>
      <c r="P22" s="3"/>
      <c r="Q22" s="3"/>
    </row>
    <row r="23" spans="2:18" x14ac:dyDescent="0.3">
      <c r="B23" s="16">
        <v>0</v>
      </c>
      <c r="C23" s="16" t="s">
        <v>325</v>
      </c>
      <c r="D23" s="16">
        <v>0</v>
      </c>
      <c r="E23" s="16">
        <v>0</v>
      </c>
      <c r="F23" s="16" t="s">
        <v>356</v>
      </c>
      <c r="G23" s="16">
        <v>0</v>
      </c>
      <c r="H23" s="16">
        <v>0</v>
      </c>
      <c r="I23" s="16" t="s">
        <v>212</v>
      </c>
      <c r="J23" s="16">
        <v>0</v>
      </c>
      <c r="K23" s="16">
        <v>0</v>
      </c>
      <c r="L23" s="16" t="s">
        <v>242</v>
      </c>
      <c r="M23" s="16">
        <v>0</v>
      </c>
      <c r="N23" s="23"/>
      <c r="O23" s="183"/>
      <c r="P23" s="183"/>
      <c r="Q23" s="25"/>
    </row>
    <row r="24" spans="2:18" x14ac:dyDescent="0.3">
      <c r="B24" s="16">
        <v>1</v>
      </c>
      <c r="C24" s="16" t="s">
        <v>326</v>
      </c>
      <c r="D24" s="16">
        <v>1</v>
      </c>
      <c r="E24" s="16">
        <v>1</v>
      </c>
      <c r="F24" s="16" t="s">
        <v>392</v>
      </c>
      <c r="G24" s="16">
        <v>1</v>
      </c>
      <c r="H24" s="16">
        <v>1</v>
      </c>
      <c r="I24" s="16" t="s">
        <v>213</v>
      </c>
      <c r="J24" s="16">
        <v>1</v>
      </c>
      <c r="K24" s="16">
        <v>1</v>
      </c>
      <c r="L24" s="16" t="s">
        <v>389</v>
      </c>
      <c r="M24" s="16">
        <v>1</v>
      </c>
      <c r="N24" s="23"/>
      <c r="O24" s="25"/>
      <c r="P24" s="25"/>
      <c r="Q24" s="25"/>
    </row>
    <row r="25" spans="2:18" x14ac:dyDescent="0.3">
      <c r="B25" s="16">
        <v>2</v>
      </c>
      <c r="C25" s="16" t="s">
        <v>327</v>
      </c>
      <c r="D25" s="16">
        <v>2</v>
      </c>
      <c r="E25" s="16">
        <v>2</v>
      </c>
      <c r="F25" s="16" t="s">
        <v>393</v>
      </c>
      <c r="G25" s="16">
        <v>2</v>
      </c>
      <c r="H25" s="16">
        <v>2</v>
      </c>
      <c r="I25" s="16" t="s">
        <v>214</v>
      </c>
      <c r="J25" s="16">
        <v>2</v>
      </c>
      <c r="K25" s="16">
        <v>2</v>
      </c>
      <c r="L25" s="16" t="s">
        <v>390</v>
      </c>
      <c r="M25" s="16">
        <v>2</v>
      </c>
      <c r="N25" s="23"/>
      <c r="O25" s="25"/>
      <c r="P25" s="25"/>
      <c r="Q25" s="25"/>
    </row>
    <row r="26" spans="2:18" x14ac:dyDescent="0.3">
      <c r="B26" s="16">
        <v>3</v>
      </c>
      <c r="C26" s="16" t="s">
        <v>328</v>
      </c>
      <c r="D26" s="16">
        <v>3</v>
      </c>
      <c r="H26" s="16">
        <v>3</v>
      </c>
      <c r="I26" s="16" t="s">
        <v>215</v>
      </c>
      <c r="J26" s="16">
        <v>3</v>
      </c>
      <c r="K26" s="16">
        <v>3</v>
      </c>
      <c r="L26" s="16" t="s">
        <v>241</v>
      </c>
      <c r="M26" s="16">
        <v>3</v>
      </c>
      <c r="N26" s="23"/>
      <c r="O26" s="23"/>
      <c r="P26" s="23"/>
      <c r="Q26" s="23"/>
    </row>
    <row r="27" spans="2:18" x14ac:dyDescent="0.3">
      <c r="B27" s="16">
        <v>4</v>
      </c>
      <c r="C27" s="16" t="s">
        <v>329</v>
      </c>
      <c r="D27" s="16">
        <v>4</v>
      </c>
      <c r="F27" s="16" t="s">
        <v>201</v>
      </c>
      <c r="H27" s="16">
        <v>4</v>
      </c>
      <c r="I27" s="16" t="s">
        <v>216</v>
      </c>
      <c r="J27" s="16">
        <v>4</v>
      </c>
      <c r="K27" s="16">
        <v>4</v>
      </c>
      <c r="L27" s="16" t="s">
        <v>16</v>
      </c>
      <c r="M27" s="16">
        <v>4</v>
      </c>
      <c r="N27" s="23"/>
      <c r="O27" s="23"/>
      <c r="P27" s="23"/>
      <c r="Q27" s="23"/>
    </row>
    <row r="28" spans="2:18" x14ac:dyDescent="0.3">
      <c r="B28" s="16">
        <v>5</v>
      </c>
      <c r="C28" s="16" t="s">
        <v>330</v>
      </c>
      <c r="D28" s="16">
        <v>5</v>
      </c>
      <c r="E28" s="16">
        <v>0</v>
      </c>
      <c r="F28" s="16" t="s">
        <v>349</v>
      </c>
      <c r="G28" s="16">
        <v>0</v>
      </c>
      <c r="H28" s="16">
        <v>5</v>
      </c>
      <c r="I28" s="16" t="s">
        <v>217</v>
      </c>
      <c r="J28" s="16">
        <v>5</v>
      </c>
      <c r="K28" s="16">
        <v>5</v>
      </c>
      <c r="L28" s="16" t="s">
        <v>17</v>
      </c>
      <c r="M28" s="16">
        <v>5</v>
      </c>
      <c r="N28" s="23"/>
      <c r="O28" s="23"/>
      <c r="P28" s="23"/>
      <c r="Q28" s="3"/>
    </row>
    <row r="29" spans="2:18" x14ac:dyDescent="0.3">
      <c r="B29" s="16">
        <v>6</v>
      </c>
      <c r="C29" s="16" t="s">
        <v>331</v>
      </c>
      <c r="D29" s="16">
        <v>6</v>
      </c>
      <c r="E29" s="16">
        <v>1</v>
      </c>
      <c r="F29" s="16" t="s">
        <v>350</v>
      </c>
      <c r="G29" s="16">
        <v>1</v>
      </c>
      <c r="H29" s="16">
        <v>6</v>
      </c>
      <c r="I29" s="16" t="s">
        <v>218</v>
      </c>
      <c r="J29" s="16">
        <v>6</v>
      </c>
      <c r="K29" s="16">
        <v>6</v>
      </c>
      <c r="L29" s="16" t="s">
        <v>18</v>
      </c>
      <c r="M29" s="16">
        <v>6</v>
      </c>
      <c r="N29" s="23"/>
      <c r="O29" s="3"/>
      <c r="P29" s="3"/>
      <c r="Q29" s="3"/>
    </row>
    <row r="30" spans="2:18" x14ac:dyDescent="0.3">
      <c r="B30" s="16">
        <v>7</v>
      </c>
      <c r="C30" s="16" t="s">
        <v>332</v>
      </c>
      <c r="D30" s="16">
        <v>7</v>
      </c>
      <c r="H30" s="16">
        <v>7</v>
      </c>
      <c r="I30" s="16" t="s">
        <v>234</v>
      </c>
      <c r="J30" s="16">
        <v>7</v>
      </c>
      <c r="K30" s="16">
        <v>7</v>
      </c>
      <c r="L30" s="16" t="s">
        <v>19</v>
      </c>
      <c r="M30" s="16">
        <v>7</v>
      </c>
      <c r="N30" s="23"/>
      <c r="O30" s="23"/>
      <c r="P30" s="23"/>
      <c r="Q30" s="23"/>
    </row>
    <row r="31" spans="2:18" x14ac:dyDescent="0.3">
      <c r="B31" s="16">
        <v>8</v>
      </c>
      <c r="C31" s="16" t="s">
        <v>333</v>
      </c>
      <c r="D31" s="16">
        <v>8</v>
      </c>
      <c r="F31" s="16" t="s">
        <v>202</v>
      </c>
      <c r="K31" s="16">
        <v>8</v>
      </c>
      <c r="L31" s="16" t="s">
        <v>20</v>
      </c>
      <c r="M31" s="16">
        <v>8</v>
      </c>
    </row>
    <row r="32" spans="2:18" x14ac:dyDescent="0.3">
      <c r="B32" s="16">
        <v>9</v>
      </c>
      <c r="C32" s="16" t="s">
        <v>334</v>
      </c>
      <c r="D32" s="16">
        <v>9</v>
      </c>
      <c r="E32" s="16">
        <v>0</v>
      </c>
      <c r="F32" s="16" t="s">
        <v>29</v>
      </c>
      <c r="G32" s="16">
        <v>0</v>
      </c>
      <c r="I32" s="16" t="s">
        <v>87</v>
      </c>
      <c r="K32" s="16">
        <v>9</v>
      </c>
      <c r="L32" s="16" t="s">
        <v>21</v>
      </c>
      <c r="M32" s="16">
        <v>9</v>
      </c>
    </row>
    <row r="33" spans="2:13" x14ac:dyDescent="0.3">
      <c r="B33" s="16">
        <v>10</v>
      </c>
      <c r="C33" s="16" t="s">
        <v>335</v>
      </c>
      <c r="D33" s="16">
        <v>10</v>
      </c>
      <c r="E33" s="16">
        <v>1</v>
      </c>
      <c r="F33" s="16" t="s">
        <v>203</v>
      </c>
      <c r="G33" s="16">
        <v>1</v>
      </c>
      <c r="H33" s="16">
        <v>0</v>
      </c>
      <c r="I33" s="16" t="s">
        <v>353</v>
      </c>
      <c r="J33" s="16">
        <v>0</v>
      </c>
      <c r="K33" s="16">
        <v>10</v>
      </c>
      <c r="L33" s="16" t="s">
        <v>22</v>
      </c>
      <c r="M33" s="16">
        <v>10</v>
      </c>
    </row>
    <row r="34" spans="2:13" x14ac:dyDescent="0.3">
      <c r="B34" s="16">
        <v>11</v>
      </c>
      <c r="C34" s="16" t="s">
        <v>336</v>
      </c>
      <c r="D34" s="16">
        <v>11</v>
      </c>
      <c r="E34" s="16">
        <v>2</v>
      </c>
      <c r="F34" s="16" t="s">
        <v>204</v>
      </c>
      <c r="G34" s="16">
        <v>2</v>
      </c>
      <c r="H34" s="16">
        <v>1</v>
      </c>
      <c r="I34" s="16" t="s">
        <v>354</v>
      </c>
      <c r="J34" s="16">
        <v>1</v>
      </c>
      <c r="K34" s="16">
        <v>11</v>
      </c>
      <c r="L34" s="16" t="s">
        <v>23</v>
      </c>
      <c r="M34" s="16">
        <v>11</v>
      </c>
    </row>
    <row r="35" spans="2:13" x14ac:dyDescent="0.3">
      <c r="B35" s="16">
        <v>12</v>
      </c>
      <c r="C35" s="16" t="s">
        <v>337</v>
      </c>
      <c r="D35" s="16">
        <v>12</v>
      </c>
      <c r="E35" s="16">
        <v>3</v>
      </c>
      <c r="F35" s="16" t="s">
        <v>205</v>
      </c>
      <c r="G35" s="16">
        <v>3</v>
      </c>
      <c r="H35" s="16">
        <v>2</v>
      </c>
      <c r="I35" s="16" t="s">
        <v>355</v>
      </c>
      <c r="J35" s="16">
        <v>2</v>
      </c>
      <c r="K35" s="16">
        <v>12</v>
      </c>
      <c r="L35" s="16" t="s">
        <v>235</v>
      </c>
      <c r="M35" s="16">
        <v>12</v>
      </c>
    </row>
    <row r="36" spans="2:13" x14ac:dyDescent="0.3">
      <c r="B36" s="16">
        <v>13</v>
      </c>
      <c r="C36" s="16" t="s">
        <v>338</v>
      </c>
      <c r="D36" s="16">
        <v>13</v>
      </c>
      <c r="E36" s="16">
        <v>4</v>
      </c>
      <c r="F36" s="16" t="s">
        <v>206</v>
      </c>
      <c r="G36" s="16">
        <v>4</v>
      </c>
      <c r="H36" s="16">
        <v>3</v>
      </c>
      <c r="I36" s="16" t="s">
        <v>351</v>
      </c>
      <c r="J36" s="16">
        <v>3</v>
      </c>
      <c r="K36" s="16">
        <v>13</v>
      </c>
      <c r="L36" s="16" t="s">
        <v>236</v>
      </c>
      <c r="M36" s="16">
        <v>13</v>
      </c>
    </row>
    <row r="37" spans="2:13" x14ac:dyDescent="0.3">
      <c r="B37" s="16">
        <v>14</v>
      </c>
      <c r="C37" s="16" t="s">
        <v>339</v>
      </c>
      <c r="D37" s="16">
        <v>14</v>
      </c>
      <c r="E37" s="16">
        <v>5</v>
      </c>
      <c r="F37" s="16" t="s">
        <v>207</v>
      </c>
      <c r="G37" s="16">
        <v>5</v>
      </c>
      <c r="H37" s="16">
        <v>4</v>
      </c>
      <c r="I37" s="16" t="s">
        <v>352</v>
      </c>
      <c r="J37" s="16">
        <v>4</v>
      </c>
      <c r="K37" s="16">
        <v>14</v>
      </c>
      <c r="L37" s="16" t="s">
        <v>237</v>
      </c>
      <c r="M37" s="16">
        <v>14</v>
      </c>
    </row>
    <row r="38" spans="2:13" x14ac:dyDescent="0.3">
      <c r="B38" s="16">
        <v>15</v>
      </c>
      <c r="C38" s="16" t="s">
        <v>340</v>
      </c>
      <c r="D38" s="16">
        <v>15</v>
      </c>
      <c r="E38" s="16">
        <v>6</v>
      </c>
      <c r="F38" s="16" t="s">
        <v>208</v>
      </c>
      <c r="G38" s="16">
        <v>6</v>
      </c>
      <c r="K38" s="16">
        <v>15</v>
      </c>
      <c r="L38" s="16" t="s">
        <v>445</v>
      </c>
      <c r="M38" s="16">
        <v>15</v>
      </c>
    </row>
    <row r="39" spans="2:13" x14ac:dyDescent="0.3">
      <c r="B39" s="16">
        <v>16</v>
      </c>
      <c r="C39" s="16" t="s">
        <v>341</v>
      </c>
      <c r="D39" s="16">
        <v>16</v>
      </c>
      <c r="E39" s="16">
        <v>7</v>
      </c>
      <c r="F39" s="16" t="s">
        <v>209</v>
      </c>
      <c r="G39" s="16">
        <v>7</v>
      </c>
      <c r="K39" s="16">
        <v>16</v>
      </c>
      <c r="L39" s="16" t="s">
        <v>446</v>
      </c>
      <c r="M39" s="16">
        <v>16</v>
      </c>
    </row>
    <row r="40" spans="2:13" x14ac:dyDescent="0.3">
      <c r="B40" s="16">
        <v>17</v>
      </c>
      <c r="C40" s="16" t="s">
        <v>342</v>
      </c>
      <c r="D40" s="16">
        <v>17</v>
      </c>
      <c r="E40" s="16">
        <v>8</v>
      </c>
      <c r="F40" s="16" t="s">
        <v>210</v>
      </c>
      <c r="G40" s="16">
        <v>8</v>
      </c>
      <c r="K40" s="16">
        <v>17</v>
      </c>
      <c r="L40" s="16" t="s">
        <v>238</v>
      </c>
      <c r="M40" s="16">
        <v>17</v>
      </c>
    </row>
    <row r="41" spans="2:13" x14ac:dyDescent="0.3">
      <c r="B41" s="16">
        <v>18</v>
      </c>
      <c r="C41" s="16" t="s">
        <v>343</v>
      </c>
      <c r="D41" s="16">
        <v>18</v>
      </c>
      <c r="K41" s="16">
        <v>18</v>
      </c>
      <c r="L41" s="16" t="s">
        <v>239</v>
      </c>
      <c r="M41" s="16">
        <v>18</v>
      </c>
    </row>
    <row r="42" spans="2:13" x14ac:dyDescent="0.3">
      <c r="B42" s="16">
        <v>19</v>
      </c>
      <c r="C42" s="16" t="s">
        <v>344</v>
      </c>
      <c r="D42" s="16">
        <v>19</v>
      </c>
      <c r="K42" s="16">
        <v>19</v>
      </c>
      <c r="L42" s="16" t="s">
        <v>240</v>
      </c>
      <c r="M42" s="16">
        <v>19</v>
      </c>
    </row>
    <row r="43" spans="2:13" x14ac:dyDescent="0.3">
      <c r="B43" s="16">
        <v>20</v>
      </c>
      <c r="C43" s="16" t="s">
        <v>345</v>
      </c>
      <c r="D43" s="16">
        <v>20</v>
      </c>
      <c r="K43" s="16">
        <v>20</v>
      </c>
      <c r="L43" s="16" t="s">
        <v>234</v>
      </c>
      <c r="M43" s="16">
        <v>20</v>
      </c>
    </row>
    <row r="44" spans="2:13" x14ac:dyDescent="0.3">
      <c r="B44" s="16">
        <v>21</v>
      </c>
      <c r="C44" s="16" t="s">
        <v>346</v>
      </c>
      <c r="D44" s="16">
        <v>21</v>
      </c>
    </row>
    <row r="45" spans="2:13" x14ac:dyDescent="0.3">
      <c r="B45" s="16">
        <v>22</v>
      </c>
      <c r="C45" s="16" t="s">
        <v>347</v>
      </c>
      <c r="D45" s="16">
        <v>22</v>
      </c>
    </row>
    <row r="46" spans="2:13" x14ac:dyDescent="0.3">
      <c r="B46" s="16">
        <v>23</v>
      </c>
      <c r="C46" s="16" t="s">
        <v>348</v>
      </c>
      <c r="D46" s="16">
        <v>23</v>
      </c>
    </row>
  </sheetData>
  <mergeCells count="1">
    <mergeCell ref="O23:P23"/>
  </mergeCells>
  <pageMargins left="0.7" right="0.7" top="0.75" bottom="0.75" header="0.3" footer="0.3"/>
  <pageSetup paperSize="9" scale="5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J124"/>
  <sheetViews>
    <sheetView workbookViewId="0">
      <selection activeCell="D24" sqref="D24"/>
    </sheetView>
  </sheetViews>
  <sheetFormatPr defaultRowHeight="14.4" x14ac:dyDescent="0.3"/>
  <cols>
    <col min="1" max="1" width="30.88671875" customWidth="1"/>
    <col min="2" max="9" width="11.88671875" customWidth="1"/>
  </cols>
  <sheetData>
    <row r="1" spans="1:10" ht="15.6" x14ac:dyDescent="0.3">
      <c r="A1" s="77" t="s">
        <v>192</v>
      </c>
      <c r="B1" s="78"/>
      <c r="C1" s="79"/>
      <c r="D1" s="184" t="s">
        <v>388</v>
      </c>
      <c r="E1" s="185"/>
      <c r="F1" s="185"/>
      <c r="G1" s="185"/>
      <c r="H1" s="186"/>
      <c r="I1" s="79"/>
      <c r="J1" s="79"/>
    </row>
    <row r="2" spans="1:10" x14ac:dyDescent="0.3">
      <c r="A2" s="80" t="s">
        <v>78</v>
      </c>
      <c r="B2" s="81" t="str">
        <f>GUI!D5</f>
        <v>Top-Rear</v>
      </c>
      <c r="C2" s="79"/>
      <c r="D2" s="65"/>
      <c r="E2" s="66"/>
      <c r="F2" s="66"/>
      <c r="G2" s="66"/>
      <c r="H2" s="67"/>
      <c r="I2" s="79"/>
      <c r="J2" s="79"/>
    </row>
    <row r="3" spans="1:10" x14ac:dyDescent="0.3">
      <c r="A3" s="80" t="s">
        <v>79</v>
      </c>
      <c r="B3" s="82" t="str">
        <f>GUI!D6</f>
        <v>No</v>
      </c>
      <c r="C3" s="79"/>
      <c r="D3" s="65"/>
      <c r="E3" s="66"/>
      <c r="F3" s="66"/>
      <c r="G3" s="66"/>
      <c r="H3" s="67"/>
      <c r="I3" s="79"/>
      <c r="J3" s="79"/>
    </row>
    <row r="4" spans="1:10" x14ac:dyDescent="0.3">
      <c r="A4" s="80" t="s">
        <v>193</v>
      </c>
      <c r="B4" s="82">
        <f>GUI!D7</f>
        <v>36</v>
      </c>
      <c r="C4" s="79"/>
      <c r="D4" s="65"/>
      <c r="E4" s="66"/>
      <c r="F4" s="66"/>
      <c r="G4" s="66"/>
      <c r="H4" s="67"/>
      <c r="I4" s="79"/>
      <c r="J4" s="79"/>
    </row>
    <row r="5" spans="1:10" x14ac:dyDescent="0.3">
      <c r="A5" s="80" t="s">
        <v>194</v>
      </c>
      <c r="B5" s="82" t="str">
        <f>GUI!D8</f>
        <v>Armable</v>
      </c>
      <c r="C5" s="79"/>
      <c r="D5" s="65"/>
      <c r="E5" s="66"/>
      <c r="F5" s="66"/>
      <c r="G5" s="66"/>
      <c r="H5" s="67"/>
      <c r="I5" s="79"/>
      <c r="J5" s="79"/>
    </row>
    <row r="6" spans="1:10" x14ac:dyDescent="0.3">
      <c r="A6" s="80" t="s">
        <v>315</v>
      </c>
      <c r="B6" s="82">
        <f>GUI!D9</f>
        <v>30</v>
      </c>
      <c r="C6" s="79"/>
      <c r="D6" s="65"/>
      <c r="E6" s="66"/>
      <c r="F6" s="66"/>
      <c r="G6" s="66"/>
      <c r="H6" s="67"/>
      <c r="I6" s="79"/>
      <c r="J6" s="79"/>
    </row>
    <row r="7" spans="1:10" x14ac:dyDescent="0.3">
      <c r="A7" s="80" t="s">
        <v>195</v>
      </c>
      <c r="B7" s="82" t="str">
        <f>GUI!D10</f>
        <v>OFF</v>
      </c>
      <c r="C7" s="79"/>
      <c r="D7" s="65"/>
      <c r="E7" s="66"/>
      <c r="F7" s="66"/>
      <c r="G7" s="66"/>
      <c r="H7" s="67"/>
      <c r="I7" s="79"/>
      <c r="J7" s="79"/>
    </row>
    <row r="8" spans="1:10" x14ac:dyDescent="0.3">
      <c r="A8" s="80" t="s">
        <v>198</v>
      </c>
      <c r="B8" s="82" t="str">
        <f>GUI!D11</f>
        <v>44Hz</v>
      </c>
      <c r="C8" s="79"/>
      <c r="D8" s="65"/>
      <c r="E8" s="66"/>
      <c r="F8" s="66"/>
      <c r="G8" s="66"/>
      <c r="H8" s="67"/>
      <c r="I8" s="79"/>
      <c r="J8" s="79"/>
    </row>
    <row r="9" spans="1:10" x14ac:dyDescent="0.3">
      <c r="A9" s="80" t="s">
        <v>196</v>
      </c>
      <c r="B9" s="82" t="str">
        <f>GUI!D12</f>
        <v>21Hz</v>
      </c>
      <c r="C9" s="79"/>
      <c r="D9" s="65"/>
      <c r="E9" s="66"/>
      <c r="F9" s="66"/>
      <c r="G9" s="66"/>
      <c r="H9" s="67"/>
      <c r="I9" s="79"/>
      <c r="J9" s="79"/>
    </row>
    <row r="10" spans="1:10" x14ac:dyDescent="0.3">
      <c r="A10" s="80" t="s">
        <v>197</v>
      </c>
      <c r="B10" s="82" t="str">
        <f>GUI!D13</f>
        <v>None</v>
      </c>
      <c r="C10" s="79"/>
      <c r="D10" s="65"/>
      <c r="E10" s="66"/>
      <c r="F10" s="66"/>
      <c r="G10" s="66"/>
      <c r="H10" s="67"/>
      <c r="I10" s="79"/>
      <c r="J10" s="79"/>
    </row>
    <row r="11" spans="1:10" x14ac:dyDescent="0.3">
      <c r="A11" s="80" t="s">
        <v>199</v>
      </c>
      <c r="B11" s="82">
        <f>GUI!D14</f>
        <v>6</v>
      </c>
      <c r="C11" s="79"/>
      <c r="D11" s="65"/>
      <c r="E11" s="66"/>
      <c r="F11" s="66"/>
      <c r="G11" s="66"/>
      <c r="H11" s="67"/>
      <c r="I11" s="79"/>
      <c r="J11" s="79"/>
    </row>
    <row r="12" spans="1:10" ht="15" thickBot="1" x14ac:dyDescent="0.35">
      <c r="A12" s="83" t="s">
        <v>200</v>
      </c>
      <c r="B12" s="84" t="str">
        <f>GUI!D16</f>
        <v>ON</v>
      </c>
      <c r="C12" s="79"/>
      <c r="D12" s="65"/>
      <c r="E12" s="66"/>
      <c r="F12" s="66"/>
      <c r="G12" s="66"/>
      <c r="H12" s="67"/>
      <c r="I12" s="79"/>
      <c r="J12" s="79"/>
    </row>
    <row r="13" spans="1:10" ht="15" thickBot="1" x14ac:dyDescent="0.35">
      <c r="A13" s="79"/>
      <c r="B13" s="79"/>
      <c r="C13" s="79"/>
      <c r="D13" s="65"/>
      <c r="E13" s="66"/>
      <c r="F13" s="66"/>
      <c r="G13" s="66"/>
      <c r="H13" s="67"/>
      <c r="I13" s="79"/>
      <c r="J13" s="79"/>
    </row>
    <row r="14" spans="1:10" ht="15.6" x14ac:dyDescent="0.3">
      <c r="A14" s="77" t="s">
        <v>179</v>
      </c>
      <c r="B14" s="78"/>
      <c r="C14" s="79"/>
      <c r="D14" s="65"/>
      <c r="E14" s="66"/>
      <c r="F14" s="66"/>
      <c r="G14" s="66"/>
      <c r="H14" s="67"/>
      <c r="I14" s="79"/>
      <c r="J14" s="79"/>
    </row>
    <row r="15" spans="1:10" x14ac:dyDescent="0.3">
      <c r="A15" s="80" t="s">
        <v>9</v>
      </c>
      <c r="B15" s="81" t="str">
        <f>GUI!D22</f>
        <v>HoTT SUMD</v>
      </c>
      <c r="C15" s="79"/>
      <c r="D15" s="65"/>
      <c r="E15" s="66"/>
      <c r="F15" s="66"/>
      <c r="G15" s="66"/>
      <c r="H15" s="67"/>
      <c r="I15" s="79"/>
      <c r="J15" s="79"/>
    </row>
    <row r="16" spans="1:10" x14ac:dyDescent="0.3">
      <c r="A16" s="80" t="s">
        <v>10</v>
      </c>
      <c r="B16" s="82" t="str">
        <f>GUI!D23</f>
        <v>High</v>
      </c>
      <c r="C16" s="79"/>
      <c r="D16" s="65"/>
      <c r="E16" s="66"/>
      <c r="F16" s="66"/>
      <c r="G16" s="66"/>
      <c r="H16" s="67"/>
      <c r="I16" s="79"/>
      <c r="J16" s="79"/>
    </row>
    <row r="17" spans="1:10" x14ac:dyDescent="0.3">
      <c r="A17" s="80" t="s">
        <v>11</v>
      </c>
      <c r="B17" s="82" t="str">
        <f>GUI!D24</f>
        <v>GEAR</v>
      </c>
      <c r="C17" s="79"/>
      <c r="D17" s="65"/>
      <c r="E17" s="66"/>
      <c r="F17" s="66"/>
      <c r="G17" s="66"/>
      <c r="H17" s="67"/>
      <c r="I17" s="79"/>
      <c r="J17" s="79"/>
    </row>
    <row r="18" spans="1:10" x14ac:dyDescent="0.3">
      <c r="A18" s="80" t="s">
        <v>31</v>
      </c>
      <c r="B18" s="82" t="str">
        <f>GUI!D25</f>
        <v>JR/Spektrum</v>
      </c>
      <c r="C18" s="79"/>
      <c r="D18" s="65"/>
      <c r="E18" s="66"/>
      <c r="F18" s="66"/>
      <c r="G18" s="66"/>
      <c r="H18" s="67"/>
      <c r="I18" s="79"/>
      <c r="J18" s="79"/>
    </row>
    <row r="19" spans="1:10" x14ac:dyDescent="0.3">
      <c r="A19" s="80" t="s">
        <v>12</v>
      </c>
      <c r="B19" s="82" t="str">
        <f>GUI!D26</f>
        <v>GEAR</v>
      </c>
      <c r="C19" s="79"/>
      <c r="D19" s="65"/>
      <c r="E19" s="66"/>
      <c r="F19" s="66"/>
      <c r="G19" s="66"/>
      <c r="H19" s="67"/>
      <c r="I19" s="79"/>
      <c r="J19" s="79"/>
    </row>
    <row r="20" spans="1:10" x14ac:dyDescent="0.3">
      <c r="A20" s="80" t="s">
        <v>379</v>
      </c>
      <c r="B20" s="82">
        <f>GUI!D27</f>
        <v>0</v>
      </c>
      <c r="C20" s="79"/>
      <c r="D20" s="65"/>
      <c r="E20" s="66"/>
      <c r="F20" s="66"/>
      <c r="G20" s="66"/>
      <c r="H20" s="67"/>
      <c r="I20" s="79"/>
      <c r="J20" s="79"/>
    </row>
    <row r="21" spans="1:10" x14ac:dyDescent="0.3">
      <c r="A21" s="80" t="s">
        <v>380</v>
      </c>
      <c r="B21" s="82">
        <f>GUI!D28</f>
        <v>0</v>
      </c>
      <c r="C21" s="79"/>
      <c r="D21" s="65"/>
      <c r="E21" s="66"/>
      <c r="F21" s="66"/>
      <c r="G21" s="66"/>
      <c r="H21" s="67"/>
      <c r="I21" s="79"/>
      <c r="J21" s="79"/>
    </row>
    <row r="22" spans="1:10" x14ac:dyDescent="0.3">
      <c r="A22" s="80" t="s">
        <v>292</v>
      </c>
      <c r="B22" s="82">
        <f>GUI!D29</f>
        <v>0</v>
      </c>
      <c r="C22" s="79"/>
      <c r="D22" s="65"/>
      <c r="E22" s="66"/>
      <c r="F22" s="66"/>
      <c r="G22" s="66"/>
      <c r="H22" s="67"/>
      <c r="I22" s="79"/>
      <c r="J22" s="79"/>
    </row>
    <row r="23" spans="1:10" x14ac:dyDescent="0.3">
      <c r="A23" s="80" t="s">
        <v>293</v>
      </c>
      <c r="B23" s="82">
        <f>GUI!D30</f>
        <v>50</v>
      </c>
      <c r="C23" s="79"/>
      <c r="D23" s="65"/>
      <c r="E23" s="66"/>
      <c r="F23" s="66"/>
      <c r="G23" s="66"/>
      <c r="H23" s="67"/>
      <c r="I23" s="79"/>
      <c r="J23" s="79"/>
    </row>
    <row r="24" spans="1:10" x14ac:dyDescent="0.3">
      <c r="A24" s="80" t="s">
        <v>294</v>
      </c>
      <c r="B24" s="82">
        <f>GUI!D31</f>
        <v>100</v>
      </c>
      <c r="C24" s="79"/>
      <c r="D24" s="65"/>
      <c r="E24" s="66"/>
      <c r="F24" s="66"/>
      <c r="G24" s="66"/>
      <c r="H24" s="67"/>
      <c r="I24" s="79"/>
      <c r="J24" s="79"/>
    </row>
    <row r="25" spans="1:10" x14ac:dyDescent="0.3">
      <c r="A25" s="80" t="s">
        <v>13</v>
      </c>
      <c r="B25" s="82" t="str">
        <f>GUI!D32</f>
        <v>OFF</v>
      </c>
      <c r="C25" s="79"/>
      <c r="D25" s="65"/>
      <c r="E25" s="66"/>
      <c r="F25" s="66"/>
      <c r="G25" s="66"/>
      <c r="H25" s="67"/>
      <c r="I25" s="79"/>
      <c r="J25" s="79"/>
    </row>
    <row r="26" spans="1:10" ht="15" thickBot="1" x14ac:dyDescent="0.35">
      <c r="A26" s="83" t="s">
        <v>14</v>
      </c>
      <c r="B26" s="84">
        <f>GUI!D33</f>
        <v>20</v>
      </c>
      <c r="C26" s="79"/>
      <c r="D26" s="68"/>
      <c r="E26" s="69"/>
      <c r="F26" s="69"/>
      <c r="G26" s="69"/>
      <c r="H26" s="70"/>
      <c r="I26" s="79"/>
      <c r="J26" s="79"/>
    </row>
    <row r="27" spans="1:10" x14ac:dyDescent="0.3">
      <c r="A27" s="79"/>
      <c r="B27" s="79"/>
      <c r="C27" s="79"/>
      <c r="D27" s="79"/>
      <c r="E27" s="79"/>
      <c r="F27" s="79"/>
      <c r="G27" s="79"/>
      <c r="H27" s="79"/>
      <c r="I27" s="79"/>
      <c r="J27" s="79"/>
    </row>
    <row r="28" spans="1:10" x14ac:dyDescent="0.3">
      <c r="A28" s="79"/>
      <c r="B28" s="79"/>
      <c r="C28" s="79"/>
      <c r="D28" s="79"/>
      <c r="E28" s="79"/>
      <c r="F28" s="79"/>
      <c r="G28" s="79"/>
      <c r="H28" s="79"/>
      <c r="I28" s="79"/>
      <c r="J28" s="79"/>
    </row>
    <row r="29" spans="1:10" x14ac:dyDescent="0.3">
      <c r="A29" s="79"/>
      <c r="B29" s="79"/>
      <c r="C29" s="79"/>
      <c r="D29" s="79"/>
      <c r="E29" s="79"/>
      <c r="F29" s="79"/>
      <c r="G29" s="79"/>
      <c r="H29" s="79"/>
      <c r="I29" s="79"/>
      <c r="J29" s="79"/>
    </row>
    <row r="30" spans="1:10" x14ac:dyDescent="0.3">
      <c r="A30" s="79"/>
      <c r="B30" s="79"/>
      <c r="C30" s="79"/>
      <c r="D30" s="79"/>
      <c r="E30" s="79"/>
      <c r="F30" s="79"/>
      <c r="G30" s="79"/>
      <c r="H30" s="79"/>
      <c r="I30" s="79"/>
      <c r="J30" s="79"/>
    </row>
    <row r="31" spans="1:10" x14ac:dyDescent="0.3">
      <c r="A31" s="79"/>
      <c r="B31" s="79"/>
      <c r="C31" s="79"/>
      <c r="D31" s="79"/>
      <c r="E31" s="79"/>
      <c r="F31" s="79"/>
      <c r="G31" s="79"/>
      <c r="H31" s="79"/>
      <c r="I31" s="79"/>
      <c r="J31" s="79"/>
    </row>
    <row r="32" spans="1:10" x14ac:dyDescent="0.3">
      <c r="A32" s="79"/>
      <c r="B32" s="79"/>
      <c r="C32" s="79"/>
      <c r="D32" s="79"/>
      <c r="E32" s="79"/>
      <c r="F32" s="79"/>
      <c r="G32" s="79"/>
      <c r="H32" s="79"/>
      <c r="I32" s="79"/>
      <c r="J32" s="79"/>
    </row>
    <row r="33" spans="1:10" x14ac:dyDescent="0.3">
      <c r="A33" s="79"/>
      <c r="B33" s="79"/>
      <c r="C33" s="79"/>
      <c r="D33" s="79"/>
      <c r="E33" s="79"/>
      <c r="F33" s="79"/>
      <c r="G33" s="79"/>
      <c r="H33" s="79"/>
      <c r="I33" s="79"/>
      <c r="J33" s="79"/>
    </row>
    <row r="34" spans="1:10" ht="15" thickBot="1" x14ac:dyDescent="0.35">
      <c r="A34" s="79"/>
      <c r="B34" s="79"/>
      <c r="C34" s="79"/>
      <c r="D34" s="79"/>
      <c r="E34" s="79"/>
      <c r="F34" s="79"/>
      <c r="G34" s="79"/>
      <c r="H34" s="79"/>
      <c r="I34" s="79"/>
      <c r="J34" s="79"/>
    </row>
    <row r="35" spans="1:10" ht="15.6" x14ac:dyDescent="0.3">
      <c r="A35" s="85" t="s">
        <v>219</v>
      </c>
      <c r="B35" s="86" t="s">
        <v>38</v>
      </c>
      <c r="C35" s="87" t="s">
        <v>40</v>
      </c>
      <c r="D35" s="79"/>
      <c r="E35" s="79"/>
      <c r="F35" s="79"/>
      <c r="G35" s="79"/>
      <c r="H35" s="79"/>
      <c r="I35" s="79"/>
      <c r="J35" s="79"/>
    </row>
    <row r="36" spans="1:10" x14ac:dyDescent="0.3">
      <c r="A36" s="88" t="s">
        <v>297</v>
      </c>
      <c r="B36" s="89">
        <f>GUI!D43</f>
        <v>40</v>
      </c>
      <c r="C36" s="81">
        <f>GUI!E43</f>
        <v>40</v>
      </c>
      <c r="D36" s="79"/>
      <c r="E36" s="79"/>
      <c r="F36" s="79"/>
      <c r="G36" s="79"/>
      <c r="H36" s="79"/>
      <c r="I36" s="79"/>
      <c r="J36" s="79"/>
    </row>
    <row r="37" spans="1:10" x14ac:dyDescent="0.3">
      <c r="A37" s="88" t="s">
        <v>296</v>
      </c>
      <c r="B37" s="90">
        <f>GUI!D44</f>
        <v>10</v>
      </c>
      <c r="C37" s="82">
        <f>GUI!E44</f>
        <v>19</v>
      </c>
      <c r="D37" s="79"/>
      <c r="E37" s="79"/>
      <c r="F37" s="79"/>
      <c r="G37" s="79"/>
      <c r="H37" s="79"/>
      <c r="I37" s="79"/>
      <c r="J37" s="79"/>
    </row>
    <row r="38" spans="1:10" x14ac:dyDescent="0.3">
      <c r="A38" s="88" t="s">
        <v>295</v>
      </c>
      <c r="B38" s="90">
        <f>GUI!D45</f>
        <v>10</v>
      </c>
      <c r="C38" s="82">
        <f>GUI!E45</f>
        <v>14</v>
      </c>
      <c r="D38" s="79"/>
      <c r="E38" s="79"/>
      <c r="F38" s="79"/>
      <c r="G38" s="79"/>
      <c r="H38" s="79"/>
      <c r="I38" s="79"/>
      <c r="J38" s="79"/>
    </row>
    <row r="39" spans="1:10" x14ac:dyDescent="0.3">
      <c r="A39" s="88" t="s">
        <v>298</v>
      </c>
      <c r="B39" s="90">
        <f>GUI!D46</f>
        <v>2</v>
      </c>
      <c r="C39" s="82">
        <f>GUI!E46</f>
        <v>3</v>
      </c>
      <c r="D39" s="79"/>
      <c r="E39" s="79"/>
      <c r="F39" s="79"/>
      <c r="G39" s="79"/>
      <c r="H39" s="79"/>
      <c r="I39" s="79"/>
      <c r="J39" s="79"/>
    </row>
    <row r="40" spans="1:10" x14ac:dyDescent="0.3">
      <c r="A40" s="88" t="s">
        <v>299</v>
      </c>
      <c r="B40" s="90">
        <f>GUI!D47</f>
        <v>10</v>
      </c>
      <c r="C40" s="82">
        <f>GUI!E47</f>
        <v>1</v>
      </c>
      <c r="D40" s="79"/>
      <c r="E40" s="79"/>
      <c r="F40" s="79"/>
      <c r="G40" s="79"/>
      <c r="H40" s="79"/>
      <c r="I40" s="79"/>
      <c r="J40" s="79"/>
    </row>
    <row r="41" spans="1:10" x14ac:dyDescent="0.3">
      <c r="A41" s="88" t="s">
        <v>300</v>
      </c>
      <c r="B41" s="90">
        <f>GUI!D48</f>
        <v>0</v>
      </c>
      <c r="C41" s="82">
        <f>GUI!E48</f>
        <v>0</v>
      </c>
      <c r="D41" s="79"/>
      <c r="E41" s="79"/>
      <c r="F41" s="79"/>
      <c r="G41" s="79"/>
      <c r="H41" s="79"/>
      <c r="I41" s="79"/>
      <c r="J41" s="79"/>
    </row>
    <row r="42" spans="1:10" x14ac:dyDescent="0.3">
      <c r="A42" s="88" t="s">
        <v>301</v>
      </c>
      <c r="B42" s="90">
        <f>GUI!D49</f>
        <v>40</v>
      </c>
      <c r="C42" s="82">
        <f>GUI!E49</f>
        <v>40</v>
      </c>
      <c r="D42" s="79"/>
      <c r="E42" s="79"/>
      <c r="F42" s="79"/>
      <c r="G42" s="79"/>
      <c r="H42" s="79"/>
      <c r="I42" s="79"/>
      <c r="J42" s="79"/>
    </row>
    <row r="43" spans="1:10" x14ac:dyDescent="0.3">
      <c r="A43" s="88" t="s">
        <v>302</v>
      </c>
      <c r="B43" s="90">
        <f>GUI!D50</f>
        <v>10</v>
      </c>
      <c r="C43" s="82">
        <f>GUI!E50</f>
        <v>19</v>
      </c>
      <c r="D43" s="79"/>
      <c r="E43" s="79"/>
      <c r="F43" s="79"/>
      <c r="G43" s="79"/>
      <c r="H43" s="79"/>
      <c r="I43" s="79"/>
      <c r="J43" s="79"/>
    </row>
    <row r="44" spans="1:10" x14ac:dyDescent="0.3">
      <c r="A44" s="88" t="s">
        <v>312</v>
      </c>
      <c r="B44" s="90">
        <f>GUI!D51</f>
        <v>10</v>
      </c>
      <c r="C44" s="82">
        <f>GUI!E51</f>
        <v>14</v>
      </c>
      <c r="D44" s="79"/>
      <c r="E44" s="79"/>
      <c r="F44" s="79"/>
      <c r="G44" s="79"/>
      <c r="H44" s="79"/>
      <c r="I44" s="79"/>
      <c r="J44" s="79"/>
    </row>
    <row r="45" spans="1:10" x14ac:dyDescent="0.3">
      <c r="A45" s="88" t="s">
        <v>309</v>
      </c>
      <c r="B45" s="90">
        <f>GUI!D52</f>
        <v>2</v>
      </c>
      <c r="C45" s="82">
        <f>GUI!E52</f>
        <v>3</v>
      </c>
      <c r="D45" s="79"/>
      <c r="E45" s="79"/>
      <c r="F45" s="79"/>
      <c r="G45" s="79"/>
      <c r="H45" s="79"/>
      <c r="I45" s="79"/>
      <c r="J45" s="79"/>
    </row>
    <row r="46" spans="1:10" x14ac:dyDescent="0.3">
      <c r="A46" s="88" t="s">
        <v>303</v>
      </c>
      <c r="B46" s="90">
        <f>GUI!D53</f>
        <v>10</v>
      </c>
      <c r="C46" s="82">
        <f>GUI!E53</f>
        <v>1</v>
      </c>
      <c r="D46" s="79"/>
      <c r="E46" s="79"/>
      <c r="F46" s="79"/>
      <c r="G46" s="79"/>
      <c r="H46" s="79"/>
      <c r="I46" s="79"/>
      <c r="J46" s="79"/>
    </row>
    <row r="47" spans="1:10" x14ac:dyDescent="0.3">
      <c r="A47" s="88" t="s">
        <v>220</v>
      </c>
      <c r="B47" s="90">
        <f>GUI!D54</f>
        <v>0</v>
      </c>
      <c r="C47" s="82">
        <f>GUI!E54</f>
        <v>0</v>
      </c>
      <c r="D47" s="79"/>
      <c r="E47" s="79"/>
      <c r="F47" s="79"/>
      <c r="G47" s="79"/>
      <c r="H47" s="79"/>
      <c r="I47" s="79"/>
      <c r="J47" s="79"/>
    </row>
    <row r="48" spans="1:10" x14ac:dyDescent="0.3">
      <c r="A48" s="88" t="s">
        <v>304</v>
      </c>
      <c r="B48" s="90">
        <f>GUI!D55</f>
        <v>60</v>
      </c>
      <c r="C48" s="82">
        <f>GUI!E55</f>
        <v>60</v>
      </c>
      <c r="D48" s="79"/>
      <c r="E48" s="79"/>
      <c r="F48" s="79"/>
      <c r="G48" s="79"/>
      <c r="H48" s="79"/>
      <c r="I48" s="79"/>
      <c r="J48" s="79"/>
    </row>
    <row r="49" spans="1:10" x14ac:dyDescent="0.3">
      <c r="A49" s="88" t="s">
        <v>305</v>
      </c>
      <c r="B49" s="90">
        <f>GUI!D56</f>
        <v>40</v>
      </c>
      <c r="C49" s="82">
        <f>GUI!E56</f>
        <v>40</v>
      </c>
      <c r="D49" s="79"/>
      <c r="E49" s="79"/>
      <c r="F49" s="79"/>
      <c r="G49" s="79"/>
      <c r="H49" s="79"/>
      <c r="I49" s="79"/>
      <c r="J49" s="79"/>
    </row>
    <row r="50" spans="1:10" x14ac:dyDescent="0.3">
      <c r="A50" s="88" t="s">
        <v>313</v>
      </c>
      <c r="B50" s="90">
        <f>GUI!D57</f>
        <v>25</v>
      </c>
      <c r="C50" s="82">
        <f>GUI!E57</f>
        <v>25</v>
      </c>
      <c r="D50" s="79"/>
      <c r="E50" s="79"/>
      <c r="F50" s="79"/>
      <c r="G50" s="79"/>
      <c r="H50" s="79"/>
      <c r="I50" s="79"/>
      <c r="J50" s="79"/>
    </row>
    <row r="51" spans="1:10" x14ac:dyDescent="0.3">
      <c r="A51" s="88" t="s">
        <v>310</v>
      </c>
      <c r="B51" s="90">
        <f>GUI!D58</f>
        <v>2</v>
      </c>
      <c r="C51" s="82">
        <f>GUI!E58</f>
        <v>2</v>
      </c>
      <c r="D51" s="79"/>
      <c r="E51" s="79"/>
      <c r="F51" s="79"/>
      <c r="G51" s="79"/>
      <c r="H51" s="79"/>
      <c r="I51" s="79"/>
      <c r="J51" s="79"/>
    </row>
    <row r="52" spans="1:10" x14ac:dyDescent="0.3">
      <c r="A52" s="88" t="s">
        <v>311</v>
      </c>
      <c r="B52" s="90">
        <f>GUI!D59</f>
        <v>0</v>
      </c>
      <c r="C52" s="82">
        <f>GUI!E59</f>
        <v>0</v>
      </c>
      <c r="D52" s="79"/>
      <c r="E52" s="79"/>
      <c r="F52" s="79"/>
      <c r="G52" s="79"/>
      <c r="H52" s="79"/>
      <c r="I52" s="79"/>
      <c r="J52" s="79"/>
    </row>
    <row r="53" spans="1:10" x14ac:dyDescent="0.3">
      <c r="A53" s="88" t="s">
        <v>306</v>
      </c>
      <c r="B53" s="90">
        <f>GUI!D60</f>
        <v>40</v>
      </c>
      <c r="C53" s="82">
        <f>GUI!E60</f>
        <v>0</v>
      </c>
      <c r="D53" s="79"/>
      <c r="E53" s="79"/>
      <c r="F53" s="79"/>
      <c r="G53" s="79"/>
      <c r="H53" s="79"/>
      <c r="I53" s="79"/>
      <c r="J53" s="79"/>
    </row>
    <row r="54" spans="1:10" x14ac:dyDescent="0.3">
      <c r="A54" s="88" t="s">
        <v>307</v>
      </c>
      <c r="B54" s="90">
        <f>GUI!D61</f>
        <v>20</v>
      </c>
      <c r="C54" s="82">
        <f>GUI!E61</f>
        <v>0</v>
      </c>
      <c r="D54" s="79"/>
      <c r="E54" s="79"/>
      <c r="F54" s="79"/>
      <c r="G54" s="79"/>
      <c r="H54" s="79"/>
      <c r="I54" s="79"/>
      <c r="J54" s="79"/>
    </row>
    <row r="55" spans="1:10" ht="15" thickBot="1" x14ac:dyDescent="0.35">
      <c r="A55" s="91" t="s">
        <v>308</v>
      </c>
      <c r="B55" s="92">
        <f>GUI!D62</f>
        <v>10</v>
      </c>
      <c r="C55" s="84">
        <f>GUI!E62</f>
        <v>0</v>
      </c>
      <c r="D55" s="79"/>
      <c r="E55" s="79"/>
      <c r="F55" s="79"/>
      <c r="G55" s="79"/>
      <c r="H55" s="79"/>
      <c r="I55" s="79"/>
      <c r="J55" s="79"/>
    </row>
    <row r="56" spans="1:10" ht="15" thickBot="1" x14ac:dyDescent="0.35">
      <c r="A56" s="79"/>
      <c r="B56" s="79"/>
      <c r="C56" s="79"/>
      <c r="D56" s="79"/>
      <c r="E56" s="79"/>
      <c r="F56" s="79"/>
      <c r="G56" s="79"/>
      <c r="H56" s="79"/>
      <c r="I56" s="79"/>
      <c r="J56" s="79"/>
    </row>
    <row r="57" spans="1:10" ht="15.6" x14ac:dyDescent="0.3">
      <c r="A57" s="93" t="s">
        <v>222</v>
      </c>
      <c r="B57" s="94" t="s">
        <v>38</v>
      </c>
      <c r="C57" s="94" t="s">
        <v>40</v>
      </c>
      <c r="D57" s="79"/>
      <c r="E57" s="93" t="s">
        <v>222</v>
      </c>
      <c r="F57" s="94" t="s">
        <v>38</v>
      </c>
      <c r="G57" s="94" t="s">
        <v>40</v>
      </c>
      <c r="H57" s="94" t="s">
        <v>358</v>
      </c>
      <c r="I57" s="95" t="s">
        <v>358</v>
      </c>
      <c r="J57" s="79"/>
    </row>
    <row r="58" spans="1:10" x14ac:dyDescent="0.3">
      <c r="A58" s="96"/>
      <c r="B58" s="97" t="s">
        <v>357</v>
      </c>
      <c r="C58" s="97" t="s">
        <v>357</v>
      </c>
      <c r="D58" s="79"/>
      <c r="E58" s="96"/>
      <c r="F58" s="97" t="s">
        <v>241</v>
      </c>
      <c r="G58" s="97" t="s">
        <v>241</v>
      </c>
      <c r="H58" s="97" t="s">
        <v>359</v>
      </c>
      <c r="I58" s="98" t="s">
        <v>360</v>
      </c>
      <c r="J58" s="79"/>
    </row>
    <row r="59" spans="1:10" x14ac:dyDescent="0.3">
      <c r="A59" s="99"/>
      <c r="B59" s="100"/>
      <c r="C59" s="100"/>
      <c r="D59" s="79"/>
      <c r="E59" s="99" t="s">
        <v>229</v>
      </c>
      <c r="F59" s="100"/>
      <c r="G59" s="100"/>
      <c r="H59" s="90" t="str">
        <f>GUI!K117</f>
        <v>None</v>
      </c>
      <c r="I59" s="82" t="str">
        <f>GUI!K127</f>
        <v>None</v>
      </c>
      <c r="J59" s="79"/>
    </row>
    <row r="60" spans="1:10" x14ac:dyDescent="0.3">
      <c r="A60" s="99">
        <v>0</v>
      </c>
      <c r="B60" s="90">
        <f>GUI!G69</f>
        <v>0</v>
      </c>
      <c r="C60" s="90">
        <f>GUI!G79</f>
        <v>0</v>
      </c>
      <c r="D60" s="79"/>
      <c r="E60" s="99">
        <v>-100</v>
      </c>
      <c r="F60" s="90">
        <f>GUI!G90</f>
        <v>-100</v>
      </c>
      <c r="G60" s="90">
        <f>GUI!G101</f>
        <v>-100</v>
      </c>
      <c r="H60" s="90">
        <f>GUI!G113</f>
        <v>-100</v>
      </c>
      <c r="I60" s="82">
        <v>-100</v>
      </c>
      <c r="J60" s="79"/>
    </row>
    <row r="61" spans="1:10" x14ac:dyDescent="0.3">
      <c r="A61" s="99">
        <v>16.66</v>
      </c>
      <c r="B61" s="90">
        <f>GUI!G70</f>
        <v>17</v>
      </c>
      <c r="C61" s="90">
        <f>GUI!G80</f>
        <v>17</v>
      </c>
      <c r="D61" s="79"/>
      <c r="E61" s="99">
        <v>-66.7</v>
      </c>
      <c r="F61" s="90">
        <f>GUI!G91</f>
        <v>-67</v>
      </c>
      <c r="G61" s="90">
        <f>GUI!G102</f>
        <v>-67</v>
      </c>
      <c r="H61" s="90">
        <f>GUI!G114</f>
        <v>-67</v>
      </c>
      <c r="I61" s="82">
        <v>-67</v>
      </c>
      <c r="J61" s="79"/>
    </row>
    <row r="62" spans="1:10" x14ac:dyDescent="0.3">
      <c r="A62" s="99">
        <v>33.33</v>
      </c>
      <c r="B62" s="90">
        <f>GUI!G71</f>
        <v>33</v>
      </c>
      <c r="C62" s="90">
        <f>GUI!G81</f>
        <v>33</v>
      </c>
      <c r="D62" s="79"/>
      <c r="E62" s="99">
        <v>-33.299999999999997</v>
      </c>
      <c r="F62" s="90">
        <f>GUI!G92</f>
        <v>-33</v>
      </c>
      <c r="G62" s="90">
        <f>GUI!G103</f>
        <v>-33</v>
      </c>
      <c r="H62" s="90">
        <f>GUI!G115</f>
        <v>-33</v>
      </c>
      <c r="I62" s="82">
        <v>-33</v>
      </c>
      <c r="J62" s="79"/>
    </row>
    <row r="63" spans="1:10" x14ac:dyDescent="0.3">
      <c r="A63" s="99">
        <v>50</v>
      </c>
      <c r="B63" s="90">
        <f>GUI!G72</f>
        <v>50</v>
      </c>
      <c r="C63" s="90">
        <f>GUI!G82</f>
        <v>50</v>
      </c>
      <c r="D63" s="79"/>
      <c r="E63" s="99">
        <v>0</v>
      </c>
      <c r="F63" s="90">
        <f>GUI!G93</f>
        <v>0</v>
      </c>
      <c r="G63" s="90">
        <f>GUI!G104</f>
        <v>0</v>
      </c>
      <c r="H63" s="90">
        <f>GUI!G116</f>
        <v>0</v>
      </c>
      <c r="I63" s="82">
        <v>0</v>
      </c>
      <c r="J63" s="79"/>
    </row>
    <row r="64" spans="1:10" x14ac:dyDescent="0.3">
      <c r="A64" s="99">
        <v>66.66</v>
      </c>
      <c r="B64" s="90">
        <f>GUI!G73</f>
        <v>67</v>
      </c>
      <c r="C64" s="90">
        <f>GUI!G83</f>
        <v>67</v>
      </c>
      <c r="D64" s="79"/>
      <c r="E64" s="99">
        <v>33.299999999999997</v>
      </c>
      <c r="F64" s="90">
        <f>GUI!G94</f>
        <v>33</v>
      </c>
      <c r="G64" s="90">
        <f>GUI!G105</f>
        <v>33</v>
      </c>
      <c r="H64" s="90">
        <f>GUI!G117</f>
        <v>33</v>
      </c>
      <c r="I64" s="82">
        <v>33</v>
      </c>
      <c r="J64" s="79"/>
    </row>
    <row r="65" spans="1:10" x14ac:dyDescent="0.3">
      <c r="A65" s="99">
        <v>83.33</v>
      </c>
      <c r="B65" s="90">
        <f>GUI!G74</f>
        <v>83</v>
      </c>
      <c r="C65" s="90">
        <f>GUI!G84</f>
        <v>83</v>
      </c>
      <c r="D65" s="79"/>
      <c r="E65" s="99">
        <v>66.7</v>
      </c>
      <c r="F65" s="90">
        <f>GUI!G95</f>
        <v>67</v>
      </c>
      <c r="G65" s="90">
        <f>GUI!G106</f>
        <v>67</v>
      </c>
      <c r="H65" s="90">
        <f>GUI!G118</f>
        <v>67</v>
      </c>
      <c r="I65" s="82">
        <v>67</v>
      </c>
      <c r="J65" s="79"/>
    </row>
    <row r="66" spans="1:10" ht="15" thickBot="1" x14ac:dyDescent="0.35">
      <c r="A66" s="101">
        <v>100.00000000000001</v>
      </c>
      <c r="B66" s="92">
        <f>GUI!G75</f>
        <v>100</v>
      </c>
      <c r="C66" s="92">
        <f>GUI!G85</f>
        <v>100</v>
      </c>
      <c r="D66" s="79"/>
      <c r="E66" s="101">
        <v>100.00000000000001</v>
      </c>
      <c r="F66" s="92">
        <f>GUI!G96</f>
        <v>100</v>
      </c>
      <c r="G66" s="92">
        <f>GUI!G107</f>
        <v>100</v>
      </c>
      <c r="H66" s="92">
        <f>GUI!G119</f>
        <v>100</v>
      </c>
      <c r="I66" s="84">
        <v>100</v>
      </c>
      <c r="J66" s="79"/>
    </row>
    <row r="67" spans="1:10" x14ac:dyDescent="0.3">
      <c r="A67" s="79"/>
      <c r="B67" s="79"/>
      <c r="C67" s="79"/>
      <c r="D67" s="79"/>
      <c r="E67" s="79"/>
      <c r="F67" s="79"/>
      <c r="G67" s="79"/>
      <c r="H67" s="79"/>
      <c r="I67" s="79"/>
      <c r="J67" s="79"/>
    </row>
    <row r="68" spans="1:10" ht="15" thickBot="1" x14ac:dyDescent="0.35">
      <c r="A68" s="79"/>
      <c r="B68" s="79"/>
      <c r="C68" s="79"/>
      <c r="D68" s="79"/>
      <c r="E68" s="79"/>
      <c r="F68" s="79"/>
      <c r="G68" s="79"/>
      <c r="H68" s="79"/>
      <c r="I68" s="79"/>
      <c r="J68" s="79"/>
    </row>
    <row r="69" spans="1:10" ht="15.6" x14ac:dyDescent="0.3">
      <c r="A69" s="77" t="s">
        <v>244</v>
      </c>
      <c r="B69" s="102"/>
      <c r="C69" s="102"/>
      <c r="D69" s="102"/>
      <c r="E69" s="102"/>
      <c r="F69" s="102"/>
      <c r="G69" s="102"/>
      <c r="H69" s="102"/>
      <c r="I69" s="103"/>
      <c r="J69" s="79"/>
    </row>
    <row r="70" spans="1:10" x14ac:dyDescent="0.3">
      <c r="A70" s="104" t="s">
        <v>245</v>
      </c>
      <c r="B70" s="105" t="s">
        <v>145</v>
      </c>
      <c r="C70" s="105" t="s">
        <v>146</v>
      </c>
      <c r="D70" s="105" t="s">
        <v>147</v>
      </c>
      <c r="E70" s="105" t="s">
        <v>148</v>
      </c>
      <c r="F70" s="105" t="s">
        <v>149</v>
      </c>
      <c r="G70" s="105" t="s">
        <v>150</v>
      </c>
      <c r="H70" s="105" t="s">
        <v>151</v>
      </c>
      <c r="I70" s="106" t="s">
        <v>152</v>
      </c>
      <c r="J70" s="79"/>
    </row>
    <row r="71" spans="1:10" x14ac:dyDescent="0.3">
      <c r="A71" s="88" t="s">
        <v>246</v>
      </c>
      <c r="B71" s="90" t="str">
        <f>GUI!D135</f>
        <v>Motor/ESC</v>
      </c>
      <c r="C71" s="90" t="str">
        <f>GUI!E135</f>
        <v>Motor/ESC</v>
      </c>
      <c r="D71" s="90" t="str">
        <f>GUI!F135</f>
        <v>Motor/ESC</v>
      </c>
      <c r="E71" s="90" t="str">
        <f>GUI!G135</f>
        <v>Motor/ESC</v>
      </c>
      <c r="F71" s="90" t="str">
        <f>GUI!H135</f>
        <v>Analog servo</v>
      </c>
      <c r="G71" s="90" t="str">
        <f>GUI!I135</f>
        <v>Analog servo</v>
      </c>
      <c r="H71" s="90" t="str">
        <f>GUI!J135</f>
        <v>Analog servo</v>
      </c>
      <c r="I71" s="82" t="str">
        <f>GUI!K135</f>
        <v>Analog servo</v>
      </c>
      <c r="J71" s="79"/>
    </row>
    <row r="72" spans="1:10" x14ac:dyDescent="0.3">
      <c r="A72" s="88" t="s">
        <v>361</v>
      </c>
      <c r="B72" s="90">
        <f>GUI!D136</f>
        <v>100</v>
      </c>
      <c r="C72" s="90">
        <f>GUI!E136</f>
        <v>100</v>
      </c>
      <c r="D72" s="90">
        <f>GUI!F136</f>
        <v>100</v>
      </c>
      <c r="E72" s="90">
        <f>GUI!G136</f>
        <v>100</v>
      </c>
      <c r="F72" s="90">
        <f>GUI!H136</f>
        <v>0</v>
      </c>
      <c r="G72" s="90">
        <f>GUI!I136</f>
        <v>0</v>
      </c>
      <c r="H72" s="90">
        <f>GUI!J136</f>
        <v>0</v>
      </c>
      <c r="I72" s="82">
        <f>GUI!K136</f>
        <v>0</v>
      </c>
      <c r="J72" s="79"/>
    </row>
    <row r="73" spans="1:10" x14ac:dyDescent="0.3">
      <c r="A73" s="88" t="s">
        <v>362</v>
      </c>
      <c r="B73" s="90">
        <f>GUI!D137</f>
        <v>100</v>
      </c>
      <c r="C73" s="90">
        <f>GUI!E137</f>
        <v>100</v>
      </c>
      <c r="D73" s="90">
        <f>GUI!F137</f>
        <v>100</v>
      </c>
      <c r="E73" s="90">
        <f>GUI!G137</f>
        <v>100</v>
      </c>
      <c r="F73" s="90">
        <f>GUI!H137</f>
        <v>0</v>
      </c>
      <c r="G73" s="90">
        <f>GUI!I137</f>
        <v>0</v>
      </c>
      <c r="H73" s="90">
        <f>GUI!J137</f>
        <v>0</v>
      </c>
      <c r="I73" s="82">
        <f>GUI!K137</f>
        <v>0</v>
      </c>
      <c r="J73" s="79"/>
    </row>
    <row r="74" spans="1:10" x14ac:dyDescent="0.3">
      <c r="A74" s="88" t="s">
        <v>247</v>
      </c>
      <c r="B74" s="90" t="str">
        <f>GUI!D138</f>
        <v>Linear</v>
      </c>
      <c r="C74" s="90" t="str">
        <f>GUI!E138</f>
        <v>Linear</v>
      </c>
      <c r="D74" s="90" t="str">
        <f>GUI!F138</f>
        <v>Linear</v>
      </c>
      <c r="E74" s="90" t="str">
        <f>GUI!G138</f>
        <v>Linear</v>
      </c>
      <c r="F74" s="90" t="str">
        <f>GUI!H138</f>
        <v>Linear</v>
      </c>
      <c r="G74" s="90" t="str">
        <f>GUI!I138</f>
        <v>Linear</v>
      </c>
      <c r="H74" s="90" t="str">
        <f>GUI!J138</f>
        <v>Linear</v>
      </c>
      <c r="I74" s="82" t="str">
        <f>GUI!K138</f>
        <v>Linear</v>
      </c>
      <c r="J74" s="79"/>
    </row>
    <row r="75" spans="1:10" x14ac:dyDescent="0.3">
      <c r="A75" s="88" t="s">
        <v>363</v>
      </c>
      <c r="B75" s="90">
        <f>GUI!D139</f>
        <v>15</v>
      </c>
      <c r="C75" s="90">
        <f>GUI!E139</f>
        <v>-15</v>
      </c>
      <c r="D75" s="90">
        <f>GUI!F139</f>
        <v>-15</v>
      </c>
      <c r="E75" s="90">
        <f>GUI!G139</f>
        <v>15</v>
      </c>
      <c r="F75" s="90">
        <f>GUI!H139</f>
        <v>0</v>
      </c>
      <c r="G75" s="90">
        <f>GUI!I139</f>
        <v>75</v>
      </c>
      <c r="H75" s="90">
        <f>GUI!J139</f>
        <v>0</v>
      </c>
      <c r="I75" s="82">
        <f>GUI!K139</f>
        <v>0</v>
      </c>
      <c r="J75" s="79"/>
    </row>
    <row r="76" spans="1:10" x14ac:dyDescent="0.3">
      <c r="A76" s="88" t="s">
        <v>364</v>
      </c>
      <c r="B76" s="90">
        <f>GUI!D140</f>
        <v>20</v>
      </c>
      <c r="C76" s="90">
        <f>GUI!E140</f>
        <v>-20</v>
      </c>
      <c r="D76" s="90">
        <f>GUI!F140</f>
        <v>-20</v>
      </c>
      <c r="E76" s="90">
        <f>GUI!G140</f>
        <v>20</v>
      </c>
      <c r="F76" s="90">
        <f>GUI!H140</f>
        <v>0</v>
      </c>
      <c r="G76" s="90">
        <f>GUI!I140</f>
        <v>100</v>
      </c>
      <c r="H76" s="90">
        <f>GUI!J140</f>
        <v>0</v>
      </c>
      <c r="I76" s="82">
        <f>GUI!K140</f>
        <v>0</v>
      </c>
      <c r="J76" s="79"/>
    </row>
    <row r="77" spans="1:10" x14ac:dyDescent="0.3">
      <c r="A77" s="88" t="s">
        <v>365</v>
      </c>
      <c r="B77" s="90">
        <f>GUI!D141</f>
        <v>-15</v>
      </c>
      <c r="C77" s="90">
        <f>GUI!E141</f>
        <v>-15</v>
      </c>
      <c r="D77" s="90">
        <f>GUI!F141</f>
        <v>15</v>
      </c>
      <c r="E77" s="90">
        <f>GUI!G141</f>
        <v>15</v>
      </c>
      <c r="F77" s="90">
        <f>GUI!H141</f>
        <v>75</v>
      </c>
      <c r="G77" s="90">
        <f>GUI!I141</f>
        <v>0</v>
      </c>
      <c r="H77" s="90">
        <f>GUI!J141</f>
        <v>0</v>
      </c>
      <c r="I77" s="82">
        <f>GUI!K141</f>
        <v>0</v>
      </c>
      <c r="J77" s="79"/>
    </row>
    <row r="78" spans="1:10" x14ac:dyDescent="0.3">
      <c r="A78" s="88" t="s">
        <v>366</v>
      </c>
      <c r="B78" s="90">
        <f>GUI!D142</f>
        <v>-20</v>
      </c>
      <c r="C78" s="90">
        <f>GUI!E142</f>
        <v>-20</v>
      </c>
      <c r="D78" s="90">
        <f>GUI!F142</f>
        <v>20</v>
      </c>
      <c r="E78" s="90">
        <f>GUI!G142</f>
        <v>20</v>
      </c>
      <c r="F78" s="90">
        <f>GUI!H142</f>
        <v>100</v>
      </c>
      <c r="G78" s="90">
        <f>GUI!I142</f>
        <v>0</v>
      </c>
      <c r="H78" s="90">
        <f>GUI!J142</f>
        <v>0</v>
      </c>
      <c r="I78" s="82">
        <f>GUI!K142</f>
        <v>0</v>
      </c>
      <c r="J78" s="79"/>
    </row>
    <row r="79" spans="1:10" x14ac:dyDescent="0.3">
      <c r="A79" s="88" t="s">
        <v>367</v>
      </c>
      <c r="B79" s="90">
        <f>GUI!D143</f>
        <v>-40</v>
      </c>
      <c r="C79" s="90">
        <f>GUI!E143</f>
        <v>40</v>
      </c>
      <c r="D79" s="90">
        <f>GUI!F143</f>
        <v>-40</v>
      </c>
      <c r="E79" s="90">
        <f>GUI!G143</f>
        <v>40</v>
      </c>
      <c r="F79" s="90">
        <f>GUI!H143</f>
        <v>0</v>
      </c>
      <c r="G79" s="90">
        <f>GUI!I143</f>
        <v>0</v>
      </c>
      <c r="H79" s="90">
        <f>GUI!J143</f>
        <v>75</v>
      </c>
      <c r="I79" s="82">
        <f>GUI!K143</f>
        <v>0</v>
      </c>
      <c r="J79" s="79"/>
    </row>
    <row r="80" spans="1:10" x14ac:dyDescent="0.3">
      <c r="A80" s="88" t="s">
        <v>368</v>
      </c>
      <c r="B80" s="90">
        <f>GUI!D144</f>
        <v>-50</v>
      </c>
      <c r="C80" s="90">
        <f>GUI!E144</f>
        <v>50</v>
      </c>
      <c r="D80" s="90">
        <f>GUI!F144</f>
        <v>-50</v>
      </c>
      <c r="E80" s="90">
        <f>GUI!G144</f>
        <v>50</v>
      </c>
      <c r="F80" s="90">
        <f>GUI!H144</f>
        <v>0</v>
      </c>
      <c r="G80" s="90">
        <f>GUI!I144</f>
        <v>0</v>
      </c>
      <c r="H80" s="90">
        <f>GUI!J144</f>
        <v>100</v>
      </c>
      <c r="I80" s="82">
        <f>GUI!K144</f>
        <v>0</v>
      </c>
      <c r="J80" s="79"/>
    </row>
    <row r="81" spans="1:10" x14ac:dyDescent="0.3">
      <c r="A81" s="88" t="s">
        <v>257</v>
      </c>
      <c r="B81" s="90" t="str">
        <f>GUI!D145</f>
        <v>ON</v>
      </c>
      <c r="C81" s="90" t="str">
        <f>GUI!E145</f>
        <v>ON</v>
      </c>
      <c r="D81" s="90" t="str">
        <f>GUI!F145</f>
        <v>ON</v>
      </c>
      <c r="E81" s="90" t="str">
        <f>GUI!G145</f>
        <v>ON</v>
      </c>
      <c r="F81" s="90" t="str">
        <f>GUI!H145</f>
        <v>OFF</v>
      </c>
      <c r="G81" s="90" t="str">
        <f>GUI!I145</f>
        <v>OFF</v>
      </c>
      <c r="H81" s="90" t="str">
        <f>GUI!J145</f>
        <v>OFF</v>
      </c>
      <c r="I81" s="82" t="str">
        <f>GUI!K145</f>
        <v>OFF</v>
      </c>
      <c r="J81" s="79"/>
    </row>
    <row r="82" spans="1:10" x14ac:dyDescent="0.3">
      <c r="A82" s="88" t="s">
        <v>248</v>
      </c>
      <c r="B82" s="90" t="str">
        <f>GUI!D146</f>
        <v>ON</v>
      </c>
      <c r="C82" s="90" t="str">
        <f>GUI!E146</f>
        <v>ON</v>
      </c>
      <c r="D82" s="90" t="str">
        <f>GUI!F146</f>
        <v>ON</v>
      </c>
      <c r="E82" s="90" t="str">
        <f>GUI!G146</f>
        <v>ON</v>
      </c>
      <c r="F82" s="90" t="str">
        <f>GUI!H146</f>
        <v>OFF</v>
      </c>
      <c r="G82" s="90" t="str">
        <f>GUI!I146</f>
        <v>OFF</v>
      </c>
      <c r="H82" s="90" t="str">
        <f>GUI!J146</f>
        <v>OFF</v>
      </c>
      <c r="I82" s="82" t="str">
        <f>GUI!K146</f>
        <v>OFF</v>
      </c>
      <c r="J82" s="79"/>
    </row>
    <row r="83" spans="1:10" x14ac:dyDescent="0.3">
      <c r="A83" s="88" t="s">
        <v>249</v>
      </c>
      <c r="B83" s="90" t="str">
        <f>GUI!D147</f>
        <v>ON</v>
      </c>
      <c r="C83" s="90" t="str">
        <f>GUI!E147</f>
        <v>ON</v>
      </c>
      <c r="D83" s="90" t="str">
        <f>GUI!F147</f>
        <v>ON</v>
      </c>
      <c r="E83" s="90" t="str">
        <f>GUI!G147</f>
        <v>ON</v>
      </c>
      <c r="F83" s="90" t="str">
        <f>GUI!H147</f>
        <v>OFF</v>
      </c>
      <c r="G83" s="90" t="str">
        <f>GUI!I147</f>
        <v>OFF</v>
      </c>
      <c r="H83" s="90" t="str">
        <f>GUI!J147</f>
        <v>OFF</v>
      </c>
      <c r="I83" s="82" t="str">
        <f>GUI!K147</f>
        <v>OFF</v>
      </c>
      <c r="J83" s="79"/>
    </row>
    <row r="84" spans="1:10" x14ac:dyDescent="0.3">
      <c r="A84" s="88" t="s">
        <v>250</v>
      </c>
      <c r="B84" s="90" t="str">
        <f>GUI!D148</f>
        <v>ON</v>
      </c>
      <c r="C84" s="90" t="str">
        <f>GUI!E148</f>
        <v>ON</v>
      </c>
      <c r="D84" s="90" t="str">
        <f>GUI!F148</f>
        <v>ON</v>
      </c>
      <c r="E84" s="90" t="str">
        <f>GUI!G148</f>
        <v>ON</v>
      </c>
      <c r="F84" s="90" t="str">
        <f>GUI!H148</f>
        <v>OFF</v>
      </c>
      <c r="G84" s="90" t="str">
        <f>GUI!I148</f>
        <v>OFF</v>
      </c>
      <c r="H84" s="90" t="str">
        <f>GUI!J148</f>
        <v>OFF</v>
      </c>
      <c r="I84" s="82" t="str">
        <f>GUI!K148</f>
        <v>OFF</v>
      </c>
      <c r="J84" s="79"/>
    </row>
    <row r="85" spans="1:10" x14ac:dyDescent="0.3">
      <c r="A85" s="88" t="s">
        <v>251</v>
      </c>
      <c r="B85" s="90" t="str">
        <f>GUI!D149</f>
        <v>ON</v>
      </c>
      <c r="C85" s="90" t="str">
        <f>GUI!E149</f>
        <v>ON</v>
      </c>
      <c r="D85" s="90" t="str">
        <f>GUI!F149</f>
        <v>ON</v>
      </c>
      <c r="E85" s="90" t="str">
        <f>GUI!G149</f>
        <v>ON</v>
      </c>
      <c r="F85" s="90" t="str">
        <f>GUI!H149</f>
        <v>OFF</v>
      </c>
      <c r="G85" s="90" t="str">
        <f>GUI!I149</f>
        <v>OFF</v>
      </c>
      <c r="H85" s="90" t="str">
        <f>GUI!J149</f>
        <v>OFF</v>
      </c>
      <c r="I85" s="82" t="str">
        <f>GUI!K149</f>
        <v>OFF</v>
      </c>
      <c r="J85" s="79"/>
    </row>
    <row r="86" spans="1:10" x14ac:dyDescent="0.3">
      <c r="A86" s="88" t="s">
        <v>252</v>
      </c>
      <c r="B86" s="90" t="str">
        <f>GUI!D150</f>
        <v>ON</v>
      </c>
      <c r="C86" s="90" t="str">
        <f>GUI!E150</f>
        <v>ON</v>
      </c>
      <c r="D86" s="90" t="str">
        <f>GUI!F150</f>
        <v>ON</v>
      </c>
      <c r="E86" s="90" t="str">
        <f>GUI!G150</f>
        <v>ON</v>
      </c>
      <c r="F86" s="90" t="str">
        <f>GUI!H150</f>
        <v>OFF</v>
      </c>
      <c r="G86" s="90" t="str">
        <f>GUI!I150</f>
        <v>OFF</v>
      </c>
      <c r="H86" s="90" t="str">
        <f>GUI!J150</f>
        <v>OFF</v>
      </c>
      <c r="I86" s="82" t="str">
        <f>GUI!K150</f>
        <v>OFF</v>
      </c>
      <c r="J86" s="79"/>
    </row>
    <row r="87" spans="1:10" x14ac:dyDescent="0.3">
      <c r="A87" s="88" t="s">
        <v>253</v>
      </c>
      <c r="B87" s="90" t="str">
        <f>GUI!D151</f>
        <v>ON</v>
      </c>
      <c r="C87" s="90" t="str">
        <f>GUI!E151</f>
        <v>ON</v>
      </c>
      <c r="D87" s="90" t="str">
        <f>GUI!F151</f>
        <v>ON</v>
      </c>
      <c r="E87" s="90" t="str">
        <f>GUI!G151</f>
        <v>ON</v>
      </c>
      <c r="F87" s="90" t="str">
        <f>GUI!H151</f>
        <v>OFF</v>
      </c>
      <c r="G87" s="90" t="str">
        <f>GUI!I151</f>
        <v>OFF</v>
      </c>
      <c r="H87" s="90" t="str">
        <f>GUI!J151</f>
        <v>OFF</v>
      </c>
      <c r="I87" s="82" t="str">
        <f>GUI!K151</f>
        <v>OFF</v>
      </c>
      <c r="J87" s="79"/>
    </row>
    <row r="88" spans="1:10" x14ac:dyDescent="0.3">
      <c r="A88" s="88" t="s">
        <v>254</v>
      </c>
      <c r="B88" s="90" t="str">
        <f>GUI!D152</f>
        <v>ON</v>
      </c>
      <c r="C88" s="90" t="str">
        <f>GUI!E152</f>
        <v>ON</v>
      </c>
      <c r="D88" s="90" t="str">
        <f>GUI!F152</f>
        <v>ON</v>
      </c>
      <c r="E88" s="90" t="str">
        <f>GUI!G152</f>
        <v>ON</v>
      </c>
      <c r="F88" s="90" t="str">
        <f>GUI!H152</f>
        <v>OFF</v>
      </c>
      <c r="G88" s="90" t="str">
        <f>GUI!I152</f>
        <v>OFF</v>
      </c>
      <c r="H88" s="90" t="str">
        <f>GUI!J152</f>
        <v>OFF</v>
      </c>
      <c r="I88" s="82" t="str">
        <f>GUI!K152</f>
        <v>OFF</v>
      </c>
      <c r="J88" s="79"/>
    </row>
    <row r="89" spans="1:10" x14ac:dyDescent="0.3">
      <c r="A89" s="88" t="s">
        <v>255</v>
      </c>
      <c r="B89" s="90" t="str">
        <f>GUI!D153</f>
        <v>ON</v>
      </c>
      <c r="C89" s="90" t="str">
        <f>GUI!E153</f>
        <v>ON</v>
      </c>
      <c r="D89" s="90" t="str">
        <f>GUI!F153</f>
        <v>ON</v>
      </c>
      <c r="E89" s="90" t="str">
        <f>GUI!G153</f>
        <v>ON</v>
      </c>
      <c r="F89" s="90" t="str">
        <f>GUI!H153</f>
        <v>OFF</v>
      </c>
      <c r="G89" s="90" t="str">
        <f>GUI!I153</f>
        <v>OFF</v>
      </c>
      <c r="H89" s="90" t="str">
        <f>GUI!J153</f>
        <v>OFF</v>
      </c>
      <c r="I89" s="82" t="str">
        <f>GUI!K153</f>
        <v>OFF</v>
      </c>
      <c r="J89" s="79"/>
    </row>
    <row r="90" spans="1:10" x14ac:dyDescent="0.3">
      <c r="A90" s="88" t="s">
        <v>256</v>
      </c>
      <c r="B90" s="90" t="str">
        <f>GUI!D154</f>
        <v>ON</v>
      </c>
      <c r="C90" s="90" t="str">
        <f>GUI!E154</f>
        <v>ON</v>
      </c>
      <c r="D90" s="90" t="str">
        <f>GUI!F154</f>
        <v>ON</v>
      </c>
      <c r="E90" s="90" t="str">
        <f>GUI!G154</f>
        <v>ON</v>
      </c>
      <c r="F90" s="90" t="str">
        <f>GUI!H154</f>
        <v>OFF</v>
      </c>
      <c r="G90" s="90" t="str">
        <f>GUI!I154</f>
        <v>OFF</v>
      </c>
      <c r="H90" s="90" t="str">
        <f>GUI!J154</f>
        <v>OFF</v>
      </c>
      <c r="I90" s="82" t="str">
        <f>GUI!K154</f>
        <v>OFF</v>
      </c>
      <c r="J90" s="79"/>
    </row>
    <row r="91" spans="1:10" x14ac:dyDescent="0.3">
      <c r="A91" s="88" t="s">
        <v>258</v>
      </c>
      <c r="B91" s="90" t="str">
        <f>GUI!D155</f>
        <v>ON</v>
      </c>
      <c r="C91" s="90" t="str">
        <f>GUI!E155</f>
        <v>ON</v>
      </c>
      <c r="D91" s="90" t="str">
        <f>GUI!F155</f>
        <v>ON</v>
      </c>
      <c r="E91" s="90" t="str">
        <f>GUI!G155</f>
        <v>ON</v>
      </c>
      <c r="F91" s="90" t="str">
        <f>GUI!H155</f>
        <v>OFF</v>
      </c>
      <c r="G91" s="90" t="str">
        <f>GUI!I155</f>
        <v>OFF</v>
      </c>
      <c r="H91" s="90" t="str">
        <f>GUI!J155</f>
        <v>OFF</v>
      </c>
      <c r="I91" s="82" t="str">
        <f>GUI!K155</f>
        <v>OFF</v>
      </c>
      <c r="J91" s="79"/>
    </row>
    <row r="92" spans="1:10" x14ac:dyDescent="0.3">
      <c r="A92" s="88" t="s">
        <v>259</v>
      </c>
      <c r="B92" s="90" t="str">
        <f>GUI!D156</f>
        <v>ON</v>
      </c>
      <c r="C92" s="90" t="str">
        <f>GUI!E156</f>
        <v>ON</v>
      </c>
      <c r="D92" s="90" t="str">
        <f>GUI!F156</f>
        <v>ON</v>
      </c>
      <c r="E92" s="90" t="str">
        <f>GUI!G156</f>
        <v>ON</v>
      </c>
      <c r="F92" s="90" t="str">
        <f>GUI!H156</f>
        <v>OFF</v>
      </c>
      <c r="G92" s="90" t="str">
        <f>GUI!I156</f>
        <v>OFF</v>
      </c>
      <c r="H92" s="90" t="str">
        <f>GUI!J156</f>
        <v>OFF</v>
      </c>
      <c r="I92" s="82" t="str">
        <f>GUI!K156</f>
        <v>OFF</v>
      </c>
      <c r="J92" s="79"/>
    </row>
    <row r="93" spans="1:10" x14ac:dyDescent="0.3">
      <c r="A93" s="88" t="s">
        <v>260</v>
      </c>
      <c r="B93" s="90" t="str">
        <f>GUI!D157</f>
        <v>None</v>
      </c>
      <c r="C93" s="90" t="str">
        <f>GUI!E157</f>
        <v>None</v>
      </c>
      <c r="D93" s="90" t="str">
        <f>GUI!F157</f>
        <v>None</v>
      </c>
      <c r="E93" s="90" t="str">
        <f>GUI!G157</f>
        <v>None</v>
      </c>
      <c r="F93" s="90" t="str">
        <f>GUI!H157</f>
        <v>None</v>
      </c>
      <c r="G93" s="90" t="str">
        <f>GUI!I157</f>
        <v>None</v>
      </c>
      <c r="H93" s="90" t="str">
        <f>GUI!J157</f>
        <v>None</v>
      </c>
      <c r="I93" s="82" t="str">
        <f>GUI!K157</f>
        <v>None</v>
      </c>
      <c r="J93" s="79"/>
    </row>
    <row r="94" spans="1:10" x14ac:dyDescent="0.3">
      <c r="A94" s="88" t="s">
        <v>369</v>
      </c>
      <c r="B94" s="90">
        <f>GUI!D158</f>
        <v>0</v>
      </c>
      <c r="C94" s="90">
        <f>GUI!E158</f>
        <v>0</v>
      </c>
      <c r="D94" s="90">
        <f>GUI!F158</f>
        <v>0</v>
      </c>
      <c r="E94" s="90">
        <f>GUI!G158</f>
        <v>0</v>
      </c>
      <c r="F94" s="90">
        <f>GUI!H158</f>
        <v>0</v>
      </c>
      <c r="G94" s="90">
        <f>GUI!I158</f>
        <v>0</v>
      </c>
      <c r="H94" s="90">
        <f>GUI!J158</f>
        <v>0</v>
      </c>
      <c r="I94" s="82">
        <f>GUI!K158</f>
        <v>0</v>
      </c>
      <c r="J94" s="79"/>
    </row>
    <row r="95" spans="1:10" x14ac:dyDescent="0.3">
      <c r="A95" s="88" t="s">
        <v>261</v>
      </c>
      <c r="B95" s="90" t="str">
        <f>GUI!D159</f>
        <v>None</v>
      </c>
      <c r="C95" s="90" t="str">
        <f>GUI!E159</f>
        <v>None</v>
      </c>
      <c r="D95" s="90" t="str">
        <f>GUI!F159</f>
        <v>None</v>
      </c>
      <c r="E95" s="90" t="str">
        <f>GUI!G159</f>
        <v>None</v>
      </c>
      <c r="F95" s="90" t="str">
        <f>GUI!H159</f>
        <v>None</v>
      </c>
      <c r="G95" s="90" t="str">
        <f>GUI!I159</f>
        <v>None</v>
      </c>
      <c r="H95" s="90" t="str">
        <f>GUI!J159</f>
        <v>None</v>
      </c>
      <c r="I95" s="82" t="str">
        <f>GUI!K159</f>
        <v>None</v>
      </c>
      <c r="J95" s="79"/>
    </row>
    <row r="96" spans="1:10" x14ac:dyDescent="0.3">
      <c r="A96" s="88" t="s">
        <v>370</v>
      </c>
      <c r="B96" s="90">
        <f>GUI!D160</f>
        <v>0</v>
      </c>
      <c r="C96" s="90">
        <f>GUI!E160</f>
        <v>0</v>
      </c>
      <c r="D96" s="90">
        <f>GUI!F160</f>
        <v>0</v>
      </c>
      <c r="E96" s="90">
        <f>GUI!G160</f>
        <v>0</v>
      </c>
      <c r="F96" s="90">
        <f>GUI!H160</f>
        <v>0</v>
      </c>
      <c r="G96" s="90">
        <f>GUI!I160</f>
        <v>0</v>
      </c>
      <c r="H96" s="90">
        <f>GUI!J160</f>
        <v>0</v>
      </c>
      <c r="I96" s="82">
        <f>GUI!K160</f>
        <v>0</v>
      </c>
      <c r="J96" s="79"/>
    </row>
    <row r="97" spans="1:10" x14ac:dyDescent="0.3">
      <c r="A97" s="88" t="s">
        <v>262</v>
      </c>
      <c r="B97" s="90" t="str">
        <f>GUI!D161</f>
        <v>None</v>
      </c>
      <c r="C97" s="90" t="str">
        <f>GUI!E161</f>
        <v>None</v>
      </c>
      <c r="D97" s="90" t="str">
        <f>GUI!F161</f>
        <v>None</v>
      </c>
      <c r="E97" s="90" t="str">
        <f>GUI!G161</f>
        <v>None</v>
      </c>
      <c r="F97" s="90" t="str">
        <f>GUI!H161</f>
        <v>None</v>
      </c>
      <c r="G97" s="90" t="str">
        <f>GUI!I161</f>
        <v>None</v>
      </c>
      <c r="H97" s="90" t="str">
        <f>GUI!J161</f>
        <v>None</v>
      </c>
      <c r="I97" s="82" t="str">
        <f>GUI!K161</f>
        <v>None</v>
      </c>
      <c r="J97" s="79"/>
    </row>
    <row r="98" spans="1:10" x14ac:dyDescent="0.3">
      <c r="A98" s="88" t="s">
        <v>371</v>
      </c>
      <c r="B98" s="90">
        <f>GUI!D162</f>
        <v>0</v>
      </c>
      <c r="C98" s="90">
        <f>GUI!E162</f>
        <v>0</v>
      </c>
      <c r="D98" s="90">
        <f>GUI!F162</f>
        <v>0</v>
      </c>
      <c r="E98" s="90">
        <f>GUI!G162</f>
        <v>0</v>
      </c>
      <c r="F98" s="90">
        <f>GUI!H162</f>
        <v>0</v>
      </c>
      <c r="G98" s="90">
        <f>GUI!I162</f>
        <v>0</v>
      </c>
      <c r="H98" s="90">
        <f>GUI!J162</f>
        <v>0</v>
      </c>
      <c r="I98" s="82">
        <f>GUI!K162</f>
        <v>0</v>
      </c>
      <c r="J98" s="79"/>
    </row>
    <row r="99" spans="1:10" x14ac:dyDescent="0.3">
      <c r="A99" s="88" t="s">
        <v>261</v>
      </c>
      <c r="B99" s="90" t="str">
        <f>GUI!D163</f>
        <v>None</v>
      </c>
      <c r="C99" s="90" t="str">
        <f>GUI!E163</f>
        <v>None</v>
      </c>
      <c r="D99" s="90" t="str">
        <f>GUI!F163</f>
        <v>None</v>
      </c>
      <c r="E99" s="90" t="str">
        <f>GUI!G163</f>
        <v>None</v>
      </c>
      <c r="F99" s="90" t="str">
        <f>GUI!H163</f>
        <v>None</v>
      </c>
      <c r="G99" s="90" t="str">
        <f>GUI!I163</f>
        <v>None</v>
      </c>
      <c r="H99" s="90" t="str">
        <f>GUI!J163</f>
        <v>None</v>
      </c>
      <c r="I99" s="82" t="str">
        <f>GUI!K163</f>
        <v>None</v>
      </c>
      <c r="J99" s="79"/>
    </row>
    <row r="100" spans="1:10" ht="15" thickBot="1" x14ac:dyDescent="0.35">
      <c r="A100" s="91" t="s">
        <v>370</v>
      </c>
      <c r="B100" s="92">
        <f>GUI!D164</f>
        <v>0</v>
      </c>
      <c r="C100" s="92">
        <f>GUI!E164</f>
        <v>0</v>
      </c>
      <c r="D100" s="92">
        <f>GUI!F164</f>
        <v>0</v>
      </c>
      <c r="E100" s="92">
        <f>GUI!G164</f>
        <v>0</v>
      </c>
      <c r="F100" s="92">
        <f>GUI!H164</f>
        <v>0</v>
      </c>
      <c r="G100" s="92">
        <f>GUI!I164</f>
        <v>0</v>
      </c>
      <c r="H100" s="92">
        <f>GUI!J164</f>
        <v>0</v>
      </c>
      <c r="I100" s="84">
        <f>GUI!K164</f>
        <v>0</v>
      </c>
      <c r="J100" s="79"/>
    </row>
    <row r="101" spans="1:10" x14ac:dyDescent="0.3">
      <c r="A101" s="79"/>
      <c r="B101" s="79"/>
      <c r="C101" s="79"/>
      <c r="D101" s="79"/>
      <c r="E101" s="79"/>
      <c r="F101" s="79"/>
      <c r="G101" s="79"/>
      <c r="H101" s="79"/>
      <c r="I101" s="79"/>
      <c r="J101" s="79"/>
    </row>
    <row r="102" spans="1:10" ht="15" thickBot="1" x14ac:dyDescent="0.35">
      <c r="A102" s="79"/>
      <c r="B102" s="79"/>
      <c r="C102" s="79"/>
      <c r="D102" s="79"/>
      <c r="E102" s="79"/>
      <c r="F102" s="79"/>
      <c r="G102" s="79"/>
      <c r="H102" s="79"/>
      <c r="I102" s="79"/>
      <c r="J102" s="79"/>
    </row>
    <row r="103" spans="1:10" ht="15.6" x14ac:dyDescent="0.3">
      <c r="A103" s="77" t="s">
        <v>280</v>
      </c>
      <c r="B103" s="107"/>
      <c r="C103" s="107"/>
      <c r="D103" s="107"/>
      <c r="E103" s="107"/>
      <c r="F103" s="107"/>
      <c r="G103" s="107"/>
      <c r="H103" s="107"/>
      <c r="I103" s="78"/>
      <c r="J103" s="79"/>
    </row>
    <row r="104" spans="1:10" x14ac:dyDescent="0.3">
      <c r="A104" s="108"/>
      <c r="B104" s="109" t="s">
        <v>145</v>
      </c>
      <c r="C104" s="109" t="s">
        <v>146</v>
      </c>
      <c r="D104" s="109" t="s">
        <v>147</v>
      </c>
      <c r="E104" s="109" t="s">
        <v>148</v>
      </c>
      <c r="F104" s="109" t="s">
        <v>149</v>
      </c>
      <c r="G104" s="109" t="s">
        <v>150</v>
      </c>
      <c r="H104" s="109" t="s">
        <v>151</v>
      </c>
      <c r="I104" s="110" t="s">
        <v>152</v>
      </c>
      <c r="J104" s="79"/>
    </row>
    <row r="105" spans="1:10" x14ac:dyDescent="0.3">
      <c r="A105" s="99" t="s">
        <v>38</v>
      </c>
      <c r="B105" s="90">
        <f>GUI!H171</f>
        <v>0</v>
      </c>
      <c r="C105" s="90">
        <f>GUI!H182</f>
        <v>0</v>
      </c>
      <c r="D105" s="90">
        <f>GUI!H193</f>
        <v>0</v>
      </c>
      <c r="E105" s="90">
        <f>GUI!H204</f>
        <v>0</v>
      </c>
      <c r="F105" s="90">
        <f>GUI!H214</f>
        <v>0</v>
      </c>
      <c r="G105" s="90">
        <f>GUI!H225</f>
        <v>0</v>
      </c>
      <c r="H105" s="90">
        <f>GUI!H235</f>
        <v>0</v>
      </c>
      <c r="I105" s="82">
        <f>GUI!H246</f>
        <v>-100</v>
      </c>
      <c r="J105" s="79"/>
    </row>
    <row r="106" spans="1:10" x14ac:dyDescent="0.3">
      <c r="A106" s="99" t="s">
        <v>372</v>
      </c>
      <c r="B106" s="90">
        <f>GUI!H172</f>
        <v>0</v>
      </c>
      <c r="C106" s="90">
        <f>GUI!H183</f>
        <v>0</v>
      </c>
      <c r="D106" s="90">
        <f>GUI!H194</f>
        <v>0</v>
      </c>
      <c r="E106" s="90">
        <f>GUI!H205</f>
        <v>0</v>
      </c>
      <c r="F106" s="90">
        <f>GUI!H215</f>
        <v>0</v>
      </c>
      <c r="G106" s="90">
        <f>GUI!H226</f>
        <v>0</v>
      </c>
      <c r="H106" s="90">
        <f>GUI!H236</f>
        <v>0</v>
      </c>
      <c r="I106" s="82">
        <f>GUI!H247</f>
        <v>-67</v>
      </c>
      <c r="J106" s="79"/>
    </row>
    <row r="107" spans="1:10" x14ac:dyDescent="0.3">
      <c r="A107" s="99" t="s">
        <v>373</v>
      </c>
      <c r="B107" s="90">
        <f>GUI!H173</f>
        <v>0</v>
      </c>
      <c r="C107" s="90">
        <f>GUI!H184</f>
        <v>0</v>
      </c>
      <c r="D107" s="90">
        <f>GUI!H195</f>
        <v>0</v>
      </c>
      <c r="E107" s="90">
        <f>GUI!H206</f>
        <v>0</v>
      </c>
      <c r="F107" s="90">
        <f>GUI!H216</f>
        <v>0</v>
      </c>
      <c r="G107" s="90">
        <f>GUI!H227</f>
        <v>0</v>
      </c>
      <c r="H107" s="90">
        <f>GUI!H237</f>
        <v>0</v>
      </c>
      <c r="I107" s="82">
        <f>GUI!H248</f>
        <v>-33</v>
      </c>
      <c r="J107" s="79"/>
    </row>
    <row r="108" spans="1:10" x14ac:dyDescent="0.3">
      <c r="A108" s="99" t="s">
        <v>376</v>
      </c>
      <c r="B108" s="90">
        <f>GUI!H174</f>
        <v>0</v>
      </c>
      <c r="C108" s="90">
        <f>GUI!H185</f>
        <v>0</v>
      </c>
      <c r="D108" s="90">
        <f>GUI!H196</f>
        <v>0</v>
      </c>
      <c r="E108" s="90">
        <f>GUI!H207</f>
        <v>0</v>
      </c>
      <c r="F108" s="90">
        <f>GUI!H217</f>
        <v>0</v>
      </c>
      <c r="G108" s="90">
        <f>GUI!H228</f>
        <v>0</v>
      </c>
      <c r="H108" s="90">
        <f>GUI!H238</f>
        <v>0</v>
      </c>
      <c r="I108" s="82">
        <f>GUI!H249</f>
        <v>0</v>
      </c>
      <c r="J108" s="79"/>
    </row>
    <row r="109" spans="1:10" x14ac:dyDescent="0.3">
      <c r="A109" s="99" t="s">
        <v>374</v>
      </c>
      <c r="B109" s="90">
        <f>GUI!H175</f>
        <v>0</v>
      </c>
      <c r="C109" s="90">
        <f>GUI!H186</f>
        <v>0</v>
      </c>
      <c r="D109" s="90">
        <f>GUI!H197</f>
        <v>0</v>
      </c>
      <c r="E109" s="90">
        <f>GUI!H208</f>
        <v>0</v>
      </c>
      <c r="F109" s="90">
        <f>GUI!H218</f>
        <v>0</v>
      </c>
      <c r="G109" s="90">
        <f>GUI!H229</f>
        <v>0</v>
      </c>
      <c r="H109" s="90">
        <f>GUI!H239</f>
        <v>0</v>
      </c>
      <c r="I109" s="82">
        <f>GUI!H250</f>
        <v>33</v>
      </c>
      <c r="J109" s="79"/>
    </row>
    <row r="110" spans="1:10" x14ac:dyDescent="0.3">
      <c r="A110" s="99" t="s">
        <v>375</v>
      </c>
      <c r="B110" s="90">
        <f>GUI!H176</f>
        <v>0</v>
      </c>
      <c r="C110" s="90">
        <f>GUI!H187</f>
        <v>0</v>
      </c>
      <c r="D110" s="90">
        <f>GUI!H198</f>
        <v>0</v>
      </c>
      <c r="E110" s="90">
        <f>GUI!H209</f>
        <v>0</v>
      </c>
      <c r="F110" s="90">
        <f>GUI!H219</f>
        <v>0</v>
      </c>
      <c r="G110" s="90">
        <f>GUI!H230</f>
        <v>0</v>
      </c>
      <c r="H110" s="90">
        <f>GUI!H240</f>
        <v>0</v>
      </c>
      <c r="I110" s="82">
        <f>GUI!H251</f>
        <v>67</v>
      </c>
      <c r="J110" s="79"/>
    </row>
    <row r="111" spans="1:10" ht="15" thickBot="1" x14ac:dyDescent="0.35">
      <c r="A111" s="101" t="s">
        <v>40</v>
      </c>
      <c r="B111" s="92">
        <f>GUI!H177</f>
        <v>0</v>
      </c>
      <c r="C111" s="92">
        <f>GUI!H188</f>
        <v>0</v>
      </c>
      <c r="D111" s="92">
        <f>GUI!H199</f>
        <v>0</v>
      </c>
      <c r="E111" s="92">
        <f>GUI!H210</f>
        <v>0</v>
      </c>
      <c r="F111" s="92">
        <f>GUI!H220</f>
        <v>0</v>
      </c>
      <c r="G111" s="92">
        <f>GUI!H231</f>
        <v>0</v>
      </c>
      <c r="H111" s="92">
        <f>GUI!H241</f>
        <v>0</v>
      </c>
      <c r="I111" s="84">
        <f>GUI!H252</f>
        <v>100</v>
      </c>
      <c r="J111" s="79"/>
    </row>
    <row r="112" spans="1:10" ht="15" thickBot="1" x14ac:dyDescent="0.35">
      <c r="A112" s="79"/>
      <c r="B112" s="79"/>
      <c r="C112" s="79"/>
      <c r="D112" s="79"/>
      <c r="E112" s="79"/>
      <c r="F112" s="79"/>
      <c r="G112" s="79"/>
      <c r="H112" s="79"/>
      <c r="I112" s="79"/>
      <c r="J112" s="79"/>
    </row>
    <row r="113" spans="1:10" ht="15.6" x14ac:dyDescent="0.3">
      <c r="A113" s="77" t="s">
        <v>281</v>
      </c>
      <c r="B113" s="107"/>
      <c r="C113" s="107"/>
      <c r="D113" s="107"/>
      <c r="E113" s="107"/>
      <c r="F113" s="107"/>
      <c r="G113" s="107"/>
      <c r="H113" s="107"/>
      <c r="I113" s="78"/>
      <c r="J113" s="79"/>
    </row>
    <row r="114" spans="1:10" x14ac:dyDescent="0.3">
      <c r="A114" s="108"/>
      <c r="B114" s="105" t="s">
        <v>145</v>
      </c>
      <c r="C114" s="105" t="s">
        <v>146</v>
      </c>
      <c r="D114" s="105" t="s">
        <v>147</v>
      </c>
      <c r="E114" s="105" t="s">
        <v>148</v>
      </c>
      <c r="F114" s="105" t="s">
        <v>149</v>
      </c>
      <c r="G114" s="105" t="s">
        <v>150</v>
      </c>
      <c r="H114" s="105" t="s">
        <v>151</v>
      </c>
      <c r="I114" s="106" t="s">
        <v>152</v>
      </c>
      <c r="J114" s="79"/>
    </row>
    <row r="115" spans="1:10" ht="15" thickBot="1" x14ac:dyDescent="0.35">
      <c r="A115" s="91" t="s">
        <v>377</v>
      </c>
      <c r="B115" s="92" t="str">
        <f>GUI!D259</f>
        <v>Normal</v>
      </c>
      <c r="C115" s="92" t="str">
        <f>GUI!E259</f>
        <v>Normal</v>
      </c>
      <c r="D115" s="92" t="str">
        <f>GUI!F259</f>
        <v>Normal</v>
      </c>
      <c r="E115" s="92" t="str">
        <f>GUI!G259</f>
        <v>Normal</v>
      </c>
      <c r="F115" s="92" t="str">
        <f>GUI!H259</f>
        <v>Normal</v>
      </c>
      <c r="G115" s="92" t="str">
        <f>GUI!I259</f>
        <v>Normal</v>
      </c>
      <c r="H115" s="92" t="str">
        <f>GUI!J259</f>
        <v>Normal</v>
      </c>
      <c r="I115" s="84" t="str">
        <f>GUI!K259</f>
        <v>Normal</v>
      </c>
      <c r="J115" s="79"/>
    </row>
    <row r="116" spans="1:10" ht="15" thickBot="1" x14ac:dyDescent="0.35">
      <c r="A116" s="79"/>
      <c r="B116" s="79"/>
      <c r="C116" s="79"/>
      <c r="D116" s="79"/>
      <c r="E116" s="79"/>
      <c r="F116" s="79"/>
      <c r="G116" s="79"/>
      <c r="H116" s="79"/>
      <c r="I116" s="79"/>
      <c r="J116" s="79"/>
    </row>
    <row r="117" spans="1:10" ht="15.6" x14ac:dyDescent="0.3">
      <c r="A117" s="77" t="s">
        <v>378</v>
      </c>
      <c r="B117" s="102"/>
      <c r="C117" s="102"/>
      <c r="D117" s="102"/>
      <c r="E117" s="102"/>
      <c r="F117" s="102"/>
      <c r="G117" s="102"/>
      <c r="H117" s="102"/>
      <c r="I117" s="103"/>
      <c r="J117" s="79"/>
    </row>
    <row r="118" spans="1:10" x14ac:dyDescent="0.3">
      <c r="A118" s="111"/>
      <c r="B118" s="105" t="s">
        <v>145</v>
      </c>
      <c r="C118" s="105" t="s">
        <v>146</v>
      </c>
      <c r="D118" s="105" t="s">
        <v>147</v>
      </c>
      <c r="E118" s="105" t="s">
        <v>148</v>
      </c>
      <c r="F118" s="105" t="s">
        <v>149</v>
      </c>
      <c r="G118" s="105" t="s">
        <v>150</v>
      </c>
      <c r="H118" s="105" t="s">
        <v>151</v>
      </c>
      <c r="I118" s="106" t="s">
        <v>152</v>
      </c>
      <c r="J118" s="79"/>
    </row>
    <row r="119" spans="1:10" x14ac:dyDescent="0.3">
      <c r="A119" s="88" t="s">
        <v>286</v>
      </c>
      <c r="B119" s="90">
        <f>GUI!D266</f>
        <v>-100</v>
      </c>
      <c r="C119" s="90">
        <f>GUI!E266</f>
        <v>-100</v>
      </c>
      <c r="D119" s="90">
        <f>GUI!F266</f>
        <v>-100</v>
      </c>
      <c r="E119" s="90">
        <f>GUI!G266</f>
        <v>-100</v>
      </c>
      <c r="F119" s="90">
        <f>GUI!H266</f>
        <v>-100</v>
      </c>
      <c r="G119" s="90">
        <f>GUI!I266</f>
        <v>-100</v>
      </c>
      <c r="H119" s="90">
        <f>GUI!J266</f>
        <v>-100</v>
      </c>
      <c r="I119" s="82">
        <f>GUI!K266</f>
        <v>-100</v>
      </c>
      <c r="J119" s="79"/>
    </row>
    <row r="120" spans="1:10" ht="15" thickBot="1" x14ac:dyDescent="0.35">
      <c r="A120" s="91" t="s">
        <v>287</v>
      </c>
      <c r="B120" s="92">
        <f>GUI!D267</f>
        <v>100</v>
      </c>
      <c r="C120" s="92">
        <f>GUI!E267</f>
        <v>100</v>
      </c>
      <c r="D120" s="92">
        <f>GUI!F267</f>
        <v>100</v>
      </c>
      <c r="E120" s="92">
        <f>GUI!G267</f>
        <v>100</v>
      </c>
      <c r="F120" s="92">
        <f>GUI!H267</f>
        <v>100</v>
      </c>
      <c r="G120" s="92">
        <f>GUI!I267</f>
        <v>100</v>
      </c>
      <c r="H120" s="92">
        <f>GUI!J267</f>
        <v>100</v>
      </c>
      <c r="I120" s="84">
        <f>GUI!K267</f>
        <v>100</v>
      </c>
      <c r="J120" s="79"/>
    </row>
    <row r="121" spans="1:10" ht="15" thickBot="1" x14ac:dyDescent="0.35">
      <c r="A121" s="79"/>
      <c r="B121" s="79"/>
      <c r="C121" s="79"/>
      <c r="D121" s="79"/>
      <c r="E121" s="79"/>
      <c r="F121" s="79"/>
      <c r="G121" s="79"/>
      <c r="H121" s="79"/>
      <c r="I121" s="79"/>
      <c r="J121" s="79"/>
    </row>
    <row r="122" spans="1:10" ht="16.2" thickBot="1" x14ac:dyDescent="0.35">
      <c r="A122" s="112" t="s">
        <v>51</v>
      </c>
      <c r="B122" s="113" t="str">
        <f>GUI!D36</f>
        <v>THROTTLE</v>
      </c>
      <c r="C122" s="113" t="str">
        <f>GUI!E36</f>
        <v>AILERON</v>
      </c>
      <c r="D122" s="113" t="str">
        <f>GUI!F36</f>
        <v>ELEVATOR</v>
      </c>
      <c r="E122" s="113" t="str">
        <f>GUI!G36</f>
        <v>RUDDER</v>
      </c>
      <c r="F122" s="113" t="str">
        <f>GUI!H36</f>
        <v>GEAR</v>
      </c>
      <c r="G122" s="113" t="str">
        <f>GUI!I36</f>
        <v>AUX1</v>
      </c>
      <c r="H122" s="113" t="str">
        <f>GUI!J36</f>
        <v>AUX2</v>
      </c>
      <c r="I122" s="114" t="str">
        <f>GUI!K36</f>
        <v>AUX3</v>
      </c>
      <c r="J122" s="79"/>
    </row>
    <row r="123" spans="1:10" x14ac:dyDescent="0.3">
      <c r="A123" s="79"/>
      <c r="B123" s="79"/>
      <c r="C123" s="79"/>
      <c r="D123" s="79"/>
      <c r="E123" s="79"/>
      <c r="F123" s="79"/>
      <c r="G123" s="79"/>
      <c r="H123" s="79"/>
      <c r="I123" s="79"/>
      <c r="J123" s="79"/>
    </row>
    <row r="124" spans="1:10" x14ac:dyDescent="0.3">
      <c r="A124" s="79"/>
      <c r="B124" s="79"/>
      <c r="C124" s="79"/>
      <c r="D124" s="79"/>
      <c r="E124" s="79"/>
      <c r="F124" s="79"/>
      <c r="G124" s="79"/>
      <c r="H124" s="79"/>
      <c r="I124" s="79"/>
      <c r="J124" s="79"/>
    </row>
  </sheetData>
  <sheetProtection selectLockedCells="1"/>
  <mergeCells count="1">
    <mergeCell ref="D1:H1"/>
  </mergeCells>
  <pageMargins left="0.51181102362204722" right="0.51181102362204722" top="0.74803149606299213" bottom="0.74803149606299213" header="0.31496062992125984" footer="0.31496062992125984"/>
  <pageSetup orientation="landscape" horizontalDpi="300" verticalDpi="300" r:id="rId1"/>
  <headerFooter>
    <oddHeader>&amp;F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317</vt:i4>
      </vt:variant>
    </vt:vector>
  </HeadingPairs>
  <TitlesOfParts>
    <vt:vector size="321" baseType="lpstr">
      <vt:lpstr>Settings</vt:lpstr>
      <vt:lpstr>GUI</vt:lpstr>
      <vt:lpstr>Data_lists</vt:lpstr>
      <vt:lpstr>Printable</vt:lpstr>
      <vt:lpstr>ACCLPF</vt:lpstr>
      <vt:lpstr>ALCorrect</vt:lpstr>
      <vt:lpstr>Arming</vt:lpstr>
      <vt:lpstr>AVRDude_path</vt:lpstr>
      <vt:lpstr>Buzzer</vt:lpstr>
      <vt:lpstr>C_Ch1</vt:lpstr>
      <vt:lpstr>C_Ch2</vt:lpstr>
      <vt:lpstr>C_Ch3</vt:lpstr>
      <vt:lpstr>C_Ch4</vt:lpstr>
      <vt:lpstr>C_Ch5</vt:lpstr>
      <vt:lpstr>C_Ch6</vt:lpstr>
      <vt:lpstr>C_Ch7</vt:lpstr>
      <vt:lpstr>C_Ch8</vt:lpstr>
      <vt:lpstr>Channel_order</vt:lpstr>
      <vt:lpstr>COM_Port</vt:lpstr>
      <vt:lpstr>Contrast</vt:lpstr>
      <vt:lpstr>Curve1P1</vt:lpstr>
      <vt:lpstr>Curve1P2</vt:lpstr>
      <vt:lpstr>Curve1P3</vt:lpstr>
      <vt:lpstr>Curve1P4</vt:lpstr>
      <vt:lpstr>Curve1P5</vt:lpstr>
      <vt:lpstr>Curve1P6</vt:lpstr>
      <vt:lpstr>Curve1P7</vt:lpstr>
      <vt:lpstr>Curve2P1</vt:lpstr>
      <vt:lpstr>Curve2P2</vt:lpstr>
      <vt:lpstr>Curve2P3</vt:lpstr>
      <vt:lpstr>Curve2P4</vt:lpstr>
      <vt:lpstr>Curve2P5</vt:lpstr>
      <vt:lpstr>Curve2P6</vt:lpstr>
      <vt:lpstr>Curve2P7</vt:lpstr>
      <vt:lpstr>Curve3P1</vt:lpstr>
      <vt:lpstr>Curve3P2</vt:lpstr>
      <vt:lpstr>Curve3P3</vt:lpstr>
      <vt:lpstr>Curve3P4</vt:lpstr>
      <vt:lpstr>Curve3P5</vt:lpstr>
      <vt:lpstr>Curve3P6</vt:lpstr>
      <vt:lpstr>Curve3P7</vt:lpstr>
      <vt:lpstr>Curve4P1</vt:lpstr>
      <vt:lpstr>Curve4P2</vt:lpstr>
      <vt:lpstr>Curve4P3</vt:lpstr>
      <vt:lpstr>Curve4P4</vt:lpstr>
      <vt:lpstr>Curve4P5</vt:lpstr>
      <vt:lpstr>Curve4P6</vt:lpstr>
      <vt:lpstr>Curve4P7</vt:lpstr>
      <vt:lpstr>Curve5P1</vt:lpstr>
      <vt:lpstr>Curve5P2</vt:lpstr>
      <vt:lpstr>Curve5P3</vt:lpstr>
      <vt:lpstr>Curve5P4</vt:lpstr>
      <vt:lpstr>Curve5P5</vt:lpstr>
      <vt:lpstr>Curve5P6</vt:lpstr>
      <vt:lpstr>Curve5P7</vt:lpstr>
      <vt:lpstr>Curve5Source</vt:lpstr>
      <vt:lpstr>Curve6P1</vt:lpstr>
      <vt:lpstr>Curve6P2</vt:lpstr>
      <vt:lpstr>Curve6P3</vt:lpstr>
      <vt:lpstr>Curve6P4</vt:lpstr>
      <vt:lpstr>Curve6P5</vt:lpstr>
      <vt:lpstr>Curve6P6</vt:lpstr>
      <vt:lpstr>Curve6P7</vt:lpstr>
      <vt:lpstr>Curve6Source</vt:lpstr>
      <vt:lpstr>Custom_channels</vt:lpstr>
      <vt:lpstr>Data_1</vt:lpstr>
      <vt:lpstr>Data_2</vt:lpstr>
      <vt:lpstr>Data_3</vt:lpstr>
      <vt:lpstr>Data_4</vt:lpstr>
      <vt:lpstr>Data_5</vt:lpstr>
      <vt:lpstr>Data_6</vt:lpstr>
      <vt:lpstr>Data_conversion_formulas</vt:lpstr>
      <vt:lpstr>Data_out_1</vt:lpstr>
      <vt:lpstr>Data_out_2</vt:lpstr>
      <vt:lpstr>Data_out_3</vt:lpstr>
      <vt:lpstr>Data_out_6</vt:lpstr>
      <vt:lpstr>Data_output_3</vt:lpstr>
      <vt:lpstr>Data_output_4</vt:lpstr>
      <vt:lpstr>Data_output_5</vt:lpstr>
      <vt:lpstr>Debug_in</vt:lpstr>
      <vt:lpstr>Debug_out</vt:lpstr>
      <vt:lpstr>Debug_utility</vt:lpstr>
      <vt:lpstr>Deci_filter</vt:lpstr>
      <vt:lpstr>Disarm</vt:lpstr>
      <vt:lpstr>File_path</vt:lpstr>
      <vt:lpstr>Flash_file_path</vt:lpstr>
      <vt:lpstr>GYROLPF</vt:lpstr>
      <vt:lpstr>In_buffer</vt:lpstr>
      <vt:lpstr>In_buffer_start</vt:lpstr>
      <vt:lpstr>In_speed</vt:lpstr>
      <vt:lpstr>LVA</vt:lpstr>
      <vt:lpstr>Max_servo</vt:lpstr>
      <vt:lpstr>Max_servo_GUI</vt:lpstr>
      <vt:lpstr>Min_servo</vt:lpstr>
      <vt:lpstr>Min_servo_GUI</vt:lpstr>
      <vt:lpstr>MPULPF</vt:lpstr>
      <vt:lpstr>Offset_3_1</vt:lpstr>
      <vt:lpstr>Offset_3_2</vt:lpstr>
      <vt:lpstr>Offset_3_3</vt:lpstr>
      <vt:lpstr>Offset_3_4</vt:lpstr>
      <vt:lpstr>Offset_3_5</vt:lpstr>
      <vt:lpstr>Offset_3_6</vt:lpstr>
      <vt:lpstr>Offset_3_7</vt:lpstr>
      <vt:lpstr>Offset_4_1</vt:lpstr>
      <vt:lpstr>Offset_4_2</vt:lpstr>
      <vt:lpstr>Offset_4_3</vt:lpstr>
      <vt:lpstr>Offset_4_4</vt:lpstr>
      <vt:lpstr>Offset_4_5</vt:lpstr>
      <vt:lpstr>Offset_4_6</vt:lpstr>
      <vt:lpstr>Offset_4_7</vt:lpstr>
      <vt:lpstr>Offset_5_1</vt:lpstr>
      <vt:lpstr>Offset_5_2</vt:lpstr>
      <vt:lpstr>Offset_5_3</vt:lpstr>
      <vt:lpstr>Offset_5_4</vt:lpstr>
      <vt:lpstr>Offset_5_5</vt:lpstr>
      <vt:lpstr>Offset_5_6</vt:lpstr>
      <vt:lpstr>Offset_5_7</vt:lpstr>
      <vt:lpstr>Offset_6_1</vt:lpstr>
      <vt:lpstr>Offset_6_2</vt:lpstr>
      <vt:lpstr>Offset_6_3</vt:lpstr>
      <vt:lpstr>Offset_6_4</vt:lpstr>
      <vt:lpstr>Offset_6_5</vt:lpstr>
      <vt:lpstr>Offset_6_6</vt:lpstr>
      <vt:lpstr>Offset_6_7</vt:lpstr>
      <vt:lpstr>Offset_7_1</vt:lpstr>
      <vt:lpstr>Offset_7_2</vt:lpstr>
      <vt:lpstr>Offset_7_3</vt:lpstr>
      <vt:lpstr>Offset_7_4</vt:lpstr>
      <vt:lpstr>Offset_7_5</vt:lpstr>
      <vt:lpstr>Offset_7_6</vt:lpstr>
      <vt:lpstr>Offset_7_7</vt:lpstr>
      <vt:lpstr>Offset_8_1</vt:lpstr>
      <vt:lpstr>Offset_8_2</vt:lpstr>
      <vt:lpstr>Offset_8_3</vt:lpstr>
      <vt:lpstr>Offset_8_4</vt:lpstr>
      <vt:lpstr>Offset_8_5</vt:lpstr>
      <vt:lpstr>Offset_8_6</vt:lpstr>
      <vt:lpstr>Offset_8_7</vt:lpstr>
      <vt:lpstr>Offset1_1</vt:lpstr>
      <vt:lpstr>Offset1_2</vt:lpstr>
      <vt:lpstr>Offset1_3</vt:lpstr>
      <vt:lpstr>Offset1_4</vt:lpstr>
      <vt:lpstr>Offset1_5</vt:lpstr>
      <vt:lpstr>Offset1_6</vt:lpstr>
      <vt:lpstr>Offset1_7</vt:lpstr>
      <vt:lpstr>Offset2_1</vt:lpstr>
      <vt:lpstr>Offset2_2</vt:lpstr>
      <vt:lpstr>Offset2_3</vt:lpstr>
      <vt:lpstr>Offset2_4</vt:lpstr>
      <vt:lpstr>Offset2_5</vt:lpstr>
      <vt:lpstr>Offset2_6</vt:lpstr>
      <vt:lpstr>Offset2_7</vt:lpstr>
      <vt:lpstr>Orientation</vt:lpstr>
      <vt:lpstr>Out_buffer</vt:lpstr>
      <vt:lpstr>Out_buffer_start</vt:lpstr>
      <vt:lpstr>Out_speed</vt:lpstr>
      <vt:lpstr>OUT1_MIXER</vt:lpstr>
      <vt:lpstr>OUT1_MIXER_DATA</vt:lpstr>
      <vt:lpstr>OUT1_MIXER_GUI_DATA</vt:lpstr>
      <vt:lpstr>OUT1_P1_aileron_volume</vt:lpstr>
      <vt:lpstr>OUT1_P1_alt_damp</vt:lpstr>
      <vt:lpstr>OUT1_P1_elevator_volume</vt:lpstr>
      <vt:lpstr>OUT1_P1_pitch_acc</vt:lpstr>
      <vt:lpstr>OUT1_P1_pitch_gyro</vt:lpstr>
      <vt:lpstr>OUT1_P1_roll_acc</vt:lpstr>
      <vt:lpstr>OUT1_P1_roll_gyro</vt:lpstr>
      <vt:lpstr>OUT1_P1_ruder_volume</vt:lpstr>
      <vt:lpstr>OUT1_P1_Source_A</vt:lpstr>
      <vt:lpstr>OUT1_P1_Source_A_Vol</vt:lpstr>
      <vt:lpstr>OUT1_P1_Source_B</vt:lpstr>
      <vt:lpstr>OUT1_P1_Source_B_Vol</vt:lpstr>
      <vt:lpstr>Out1_P1_throttle_volume</vt:lpstr>
      <vt:lpstr>OUT1_P1_yaw_gyro</vt:lpstr>
      <vt:lpstr>OUT1_P2_aileron_volume</vt:lpstr>
      <vt:lpstr>OUT1_P2_alt_damp</vt:lpstr>
      <vt:lpstr>OUT1_P2_elevator_volume</vt:lpstr>
      <vt:lpstr>OUT1_P2_pitch_acc</vt:lpstr>
      <vt:lpstr>OUT1_P2_pitch_gyro</vt:lpstr>
      <vt:lpstr>OUT1_P2_roll_acc</vt:lpstr>
      <vt:lpstr>OUT1_P2_roll_gyro</vt:lpstr>
      <vt:lpstr>OUT1_P2_ruder_volume</vt:lpstr>
      <vt:lpstr>OUT1_P2_Source_A</vt:lpstr>
      <vt:lpstr>OUT1_P2_Source_A_Vol</vt:lpstr>
      <vt:lpstr>OUT1_P2_Source_B</vt:lpstr>
      <vt:lpstr>OUT1_P2_Source_B_Vol</vt:lpstr>
      <vt:lpstr>OUT1_P2_throttle_volume</vt:lpstr>
      <vt:lpstr>OUT1_P2_yaw_gyro</vt:lpstr>
      <vt:lpstr>OUT1_Throttle_curve</vt:lpstr>
      <vt:lpstr>OUT1_type</vt:lpstr>
      <vt:lpstr>OUT2_MIXER</vt:lpstr>
      <vt:lpstr>OUT2_MIXER_DATA</vt:lpstr>
      <vt:lpstr>OUT2_MIXER_GUI_DATA</vt:lpstr>
      <vt:lpstr>OUT2_P1_aileron_volume</vt:lpstr>
      <vt:lpstr>OUT2_P1_alt_damp</vt:lpstr>
      <vt:lpstr>OUT2_P1_elevator_volume</vt:lpstr>
      <vt:lpstr>OUT2_P1_pitch_acc</vt:lpstr>
      <vt:lpstr>OUT2_P1_pitch_gyro</vt:lpstr>
      <vt:lpstr>OUT2_P1_roll_acc</vt:lpstr>
      <vt:lpstr>OUT2_P1_roll_gyro</vt:lpstr>
      <vt:lpstr>OUT2_P1_ruder_volume</vt:lpstr>
      <vt:lpstr>OUT2_P1_Source_A</vt:lpstr>
      <vt:lpstr>OUT2_P1_Source_A_Vol</vt:lpstr>
      <vt:lpstr>OUT2_P1_Source_B</vt:lpstr>
      <vt:lpstr>OUT2_P1_Source_B_Vol</vt:lpstr>
      <vt:lpstr>Out2_P1_throttle_volume</vt:lpstr>
      <vt:lpstr>OUT2_P1_yaw_gyro</vt:lpstr>
      <vt:lpstr>OUT2_P2_aileron_volume</vt:lpstr>
      <vt:lpstr>OUT2_P2_alt_damp</vt:lpstr>
      <vt:lpstr>OUT2_P2_elevator_volume</vt:lpstr>
      <vt:lpstr>OUT2_P2_pitch_acc</vt:lpstr>
      <vt:lpstr>OUT2_P2_pitch_gyro</vt:lpstr>
      <vt:lpstr>OUT2_P2_roll_acc</vt:lpstr>
      <vt:lpstr>OUT2_P2_roll_gyro</vt:lpstr>
      <vt:lpstr>OUT2_P2_ruder_volume</vt:lpstr>
      <vt:lpstr>OUT2_P2_Source_A</vt:lpstr>
      <vt:lpstr>OUT2_P2_Source_A_Vol</vt:lpstr>
      <vt:lpstr>OUT2_P2_Source_B</vt:lpstr>
      <vt:lpstr>OUT2_P2_Source_B_Vol</vt:lpstr>
      <vt:lpstr>OUT2_P2_throttle_volume</vt:lpstr>
      <vt:lpstr>OUT2_P2_yaw_gyro</vt:lpstr>
      <vt:lpstr>OUT2_Throttle_curve</vt:lpstr>
      <vt:lpstr>OUT2_type</vt:lpstr>
      <vt:lpstr>OUT3_MIXER</vt:lpstr>
      <vt:lpstr>OUT3_MIXER_DATA</vt:lpstr>
      <vt:lpstr>OUT3_MIXER_GUI_DATA</vt:lpstr>
      <vt:lpstr>OUT3_type</vt:lpstr>
      <vt:lpstr>OUT4_MIXER</vt:lpstr>
      <vt:lpstr>OUT4_MIXER_DATA</vt:lpstr>
      <vt:lpstr>OUT4_MIXER_GUI_DATA</vt:lpstr>
      <vt:lpstr>OUT4_type</vt:lpstr>
      <vt:lpstr>OUT5_MIXER</vt:lpstr>
      <vt:lpstr>OUT5_MIXER_DATA</vt:lpstr>
      <vt:lpstr>OUT5_MIXER_GUI_DATA</vt:lpstr>
      <vt:lpstr>OUT5_type</vt:lpstr>
      <vt:lpstr>OUT6_MIXER</vt:lpstr>
      <vt:lpstr>OUT6_MIXER_DATA</vt:lpstr>
      <vt:lpstr>OUT6_MIXER_GUI_DATA</vt:lpstr>
      <vt:lpstr>OUT6_type</vt:lpstr>
      <vt:lpstr>OUT7_MIXER</vt:lpstr>
      <vt:lpstr>OUT7_MIXER_DATA</vt:lpstr>
      <vt:lpstr>OUT7_MIXER_GUI_DATA</vt:lpstr>
      <vt:lpstr>OUT7_type</vt:lpstr>
      <vt:lpstr>OUT8_MIXER</vt:lpstr>
      <vt:lpstr>OUT8_MIXER_DATA</vt:lpstr>
      <vt:lpstr>OUT8_MIXER_GUI_DATA</vt:lpstr>
      <vt:lpstr>OUT8_type</vt:lpstr>
      <vt:lpstr>Output_offsets</vt:lpstr>
      <vt:lpstr>Output_offsets_out</vt:lpstr>
      <vt:lpstr>P1_I_Gain</vt:lpstr>
      <vt:lpstr>P1_I_Limit</vt:lpstr>
      <vt:lpstr>P1_I_Rate</vt:lpstr>
      <vt:lpstr>P1_P_Gain</vt:lpstr>
      <vt:lpstr>P1_Pitch_AL_P_gain</vt:lpstr>
      <vt:lpstr>P1_Pitch_AL_trim</vt:lpstr>
      <vt:lpstr>P1_Pitch_I_Gain</vt:lpstr>
      <vt:lpstr>P1_Pitch_I_Limit</vt:lpstr>
      <vt:lpstr>P1_Pitch_I_Rate</vt:lpstr>
      <vt:lpstr>P1_Pitch_P_Gain</vt:lpstr>
      <vt:lpstr>P1_Roll_AL_P_gain</vt:lpstr>
      <vt:lpstr>P1_Roll_AL_trim</vt:lpstr>
      <vt:lpstr>P1_Roll_P_Gain</vt:lpstr>
      <vt:lpstr>P1_throttle_volume</vt:lpstr>
      <vt:lpstr>P1_Yaw_I_Gain</vt:lpstr>
      <vt:lpstr>P1_Yaw_I_Limit</vt:lpstr>
      <vt:lpstr>P1_Yaw_I_Rate</vt:lpstr>
      <vt:lpstr>P1_Yaw_P_Gain</vt:lpstr>
      <vt:lpstr>P1_Yaw_Trim</vt:lpstr>
      <vt:lpstr>P1_Z_Gain</vt:lpstr>
      <vt:lpstr>P1_Z_I_Gain</vt:lpstr>
      <vt:lpstr>P1_Z_I_Limit</vt:lpstr>
      <vt:lpstr>P2_I_Gain</vt:lpstr>
      <vt:lpstr>P2_I_Limit</vt:lpstr>
      <vt:lpstr>P2_I_Rate</vt:lpstr>
      <vt:lpstr>P2_P_Gain</vt:lpstr>
      <vt:lpstr>P2_Pitch_AL_P_gain</vt:lpstr>
      <vt:lpstr>P2_Pitch_AL_trim</vt:lpstr>
      <vt:lpstr>P2_Pitch_I_Gain</vt:lpstr>
      <vt:lpstr>P2_Pitch_I_Limit</vt:lpstr>
      <vt:lpstr>P2_Pitch_I_Rate</vt:lpstr>
      <vt:lpstr>P2_Pitch_P_Gain</vt:lpstr>
      <vt:lpstr>P2_Roll_AL_P_gain</vt:lpstr>
      <vt:lpstr>P2_Roll_AL_trim</vt:lpstr>
      <vt:lpstr>P2_throttle_volume</vt:lpstr>
      <vt:lpstr>P2_Yaw_I_Gain</vt:lpstr>
      <vt:lpstr>P2_Yaw_I_Limit</vt:lpstr>
      <vt:lpstr>P2_Yaw_I_Rate</vt:lpstr>
      <vt:lpstr>P2_Yaw_P_Gain</vt:lpstr>
      <vt:lpstr>P2_Yaw_Trim</vt:lpstr>
      <vt:lpstr>P2_Z_I_Gain</vt:lpstr>
      <vt:lpstr>P2_Z_I_Limit</vt:lpstr>
      <vt:lpstr>P2_Z_P_Gain</vt:lpstr>
      <vt:lpstr>Preset</vt:lpstr>
      <vt:lpstr>Data_lists!Print_Area</vt:lpstr>
      <vt:lpstr>GUI!Print_Area</vt:lpstr>
      <vt:lpstr>Printable!Print_Area</vt:lpstr>
      <vt:lpstr>Settings!Print_Area</vt:lpstr>
      <vt:lpstr>Profile_Channel</vt:lpstr>
      <vt:lpstr>Programmer</vt:lpstr>
      <vt:lpstr>Raw_input_decimal_data</vt:lpstr>
      <vt:lpstr>Raw_output_decimal_data</vt:lpstr>
      <vt:lpstr>Receiver_type</vt:lpstr>
      <vt:lpstr>Reference</vt:lpstr>
      <vt:lpstr>RX_settings</vt:lpstr>
      <vt:lpstr>Servo_GUI</vt:lpstr>
      <vt:lpstr>Servo_GUI_data</vt:lpstr>
      <vt:lpstr>Servo_rate</vt:lpstr>
      <vt:lpstr>Servo_rev</vt:lpstr>
      <vt:lpstr>Servo_rev_out</vt:lpstr>
      <vt:lpstr>Servo_travel</vt:lpstr>
      <vt:lpstr>Servo_travel_out</vt:lpstr>
      <vt:lpstr>Short_raw_input</vt:lpstr>
      <vt:lpstr>Short_raw_output</vt:lpstr>
      <vt:lpstr>Short_text_conversion</vt:lpstr>
      <vt:lpstr>Short_text_values_copied</vt:lpstr>
      <vt:lpstr>Synch_Channel</vt:lpstr>
      <vt:lpstr>Text_conversion_formulas</vt:lpstr>
      <vt:lpstr>Text_values_copied_from_above_to_GUI</vt:lpstr>
      <vt:lpstr>Trans_P1</vt:lpstr>
      <vt:lpstr>Trans_P1_5</vt:lpstr>
      <vt:lpstr>Trans_P2</vt:lpstr>
      <vt:lpstr>Vibe_display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Thompson, David</dc:creator>
  <cp:lastModifiedBy>George Small</cp:lastModifiedBy>
  <cp:lastPrinted>2016-03-24T20:40:49Z</cp:lastPrinted>
  <dcterms:created xsi:type="dcterms:W3CDTF">2016-02-09T02:39:58Z</dcterms:created>
  <dcterms:modified xsi:type="dcterms:W3CDTF">2021-10-27T09:38:55Z</dcterms:modified>
</cp:coreProperties>
</file>